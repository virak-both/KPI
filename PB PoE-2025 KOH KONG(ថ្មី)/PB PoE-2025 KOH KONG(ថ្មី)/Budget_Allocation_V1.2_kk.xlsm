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comments1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2025-2027\ប្រព័ន្ធគ្រោងថវិកា-2025(ok)\PB PoE-2025 KOH KONG\"/>
    </mc:Choice>
  </mc:AlternateContent>
  <xr:revisionPtr revIDLastSave="0" documentId="13_ncr:1_{91D9CF24-289C-4F7E-AC6E-5E1A14B6DEEC}" xr6:coauthVersionLast="47" xr6:coauthVersionMax="47" xr10:uidLastSave="{00000000-0000-0000-0000-000000000000}"/>
  <workbookProtection workbookAlgorithmName="SHA-512" workbookHashValue="pT1kgCkAKBq7PRFAOFeQxHlS3LbydWtYfud6IaUX5GTJKmbvcdLt175AdtEtGXv5OQTkz2DOa0CB3K/94dfT1w==" workbookSaltValue="/YtmgBWad1jRoRUh/B2Scg==" workbookSpinCount="100000" lockStructure="1"/>
  <bookViews>
    <workbookView xWindow="-108" yWindow="-108" windowWidth="23256" windowHeight="12456" tabRatio="889" xr2:uid="{976197A9-A88A-45E8-AC1E-AC7673D34653}"/>
  </bookViews>
  <sheets>
    <sheet name="Subsector" sheetId="1" r:id="rId1"/>
    <sheet name="PoE" sheetId="2" r:id="rId2"/>
    <sheet name="DoE01" sheetId="3" r:id="rId3"/>
    <sheet name="DoE02" sheetId="4" r:id="rId4"/>
    <sheet name="DoE03" sheetId="5" r:id="rId5"/>
    <sheet name="DoE04" sheetId="6" r:id="rId6"/>
    <sheet name="DoE05" sheetId="7" r:id="rId7"/>
    <sheet name="DoE06" sheetId="8" r:id="rId8"/>
    <sheet name="DoE07" sheetId="9" r:id="rId9"/>
    <sheet name="DoE08" sheetId="10" r:id="rId10"/>
    <sheet name="DoE09" sheetId="11" r:id="rId11"/>
    <sheet name="DoE10" sheetId="12" r:id="rId12"/>
    <sheet name="DoE11" sheetId="13" r:id="rId13"/>
    <sheet name="DoE12" sheetId="14" r:id="rId14"/>
    <sheet name="DoE13" sheetId="15" r:id="rId15"/>
    <sheet name="DoE14" sheetId="16" r:id="rId16"/>
  </sheet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7" i="1" l="1"/>
  <c r="O7" i="1"/>
  <c r="M7" i="1"/>
  <c r="N7" i="1"/>
  <c r="L7" i="1"/>
  <c r="K7" i="1"/>
  <c r="J7" i="1"/>
  <c r="I7" i="1"/>
  <c r="H7" i="1"/>
  <c r="G7" i="1"/>
  <c r="F7" i="1"/>
  <c r="E7" i="1"/>
  <c r="D7" i="1"/>
  <c r="C7" i="1"/>
  <c r="H59" i="16" l="1"/>
  <c r="G59" i="16"/>
  <c r="F59" i="16"/>
  <c r="E59" i="16"/>
  <c r="H50" i="16"/>
  <c r="G50" i="16"/>
  <c r="F50" i="16"/>
  <c r="E50" i="16"/>
  <c r="H45" i="16"/>
  <c r="G45" i="16"/>
  <c r="F45" i="16"/>
  <c r="E45" i="16"/>
  <c r="H37" i="16"/>
  <c r="G37" i="16"/>
  <c r="F37" i="16"/>
  <c r="E37" i="16"/>
  <c r="H33" i="16"/>
  <c r="G33" i="16"/>
  <c r="F33" i="16"/>
  <c r="E33" i="16"/>
  <c r="H27" i="16"/>
  <c r="G27" i="16"/>
  <c r="F27" i="16"/>
  <c r="E27" i="16"/>
  <c r="H18" i="16"/>
  <c r="G18" i="16"/>
  <c r="F18" i="16"/>
  <c r="E18" i="16"/>
  <c r="H9" i="16"/>
  <c r="H8" i="16" s="1"/>
  <c r="P18" i="1" s="1"/>
  <c r="G9" i="16"/>
  <c r="F9" i="16"/>
  <c r="F8" i="16" s="1"/>
  <c r="P12" i="1" s="1"/>
  <c r="E9" i="16"/>
  <c r="H59" i="15"/>
  <c r="G59" i="15"/>
  <c r="F59" i="15"/>
  <c r="E59" i="15"/>
  <c r="H50" i="15"/>
  <c r="G50" i="15"/>
  <c r="F50" i="15"/>
  <c r="E50" i="15"/>
  <c r="H45" i="15"/>
  <c r="G45" i="15"/>
  <c r="F45" i="15"/>
  <c r="E45" i="15"/>
  <c r="H37" i="15"/>
  <c r="G37" i="15"/>
  <c r="F37" i="15"/>
  <c r="E37" i="15"/>
  <c r="H33" i="15"/>
  <c r="G33" i="15"/>
  <c r="F33" i="15"/>
  <c r="E33" i="15"/>
  <c r="H27" i="15"/>
  <c r="G27" i="15"/>
  <c r="F27" i="15"/>
  <c r="E27" i="15"/>
  <c r="H18" i="15"/>
  <c r="G18" i="15"/>
  <c r="F18" i="15"/>
  <c r="E18" i="15"/>
  <c r="H9" i="15"/>
  <c r="G9" i="15"/>
  <c r="F9" i="15"/>
  <c r="E9" i="15"/>
  <c r="H59" i="14"/>
  <c r="G59" i="14"/>
  <c r="F59" i="14"/>
  <c r="E59" i="14"/>
  <c r="H50" i="14"/>
  <c r="G50" i="14"/>
  <c r="F50" i="14"/>
  <c r="E50" i="14"/>
  <c r="H45" i="14"/>
  <c r="G45" i="14"/>
  <c r="F45" i="14"/>
  <c r="E45" i="14"/>
  <c r="H37" i="14"/>
  <c r="G37" i="14"/>
  <c r="F37" i="14"/>
  <c r="E37" i="14"/>
  <c r="H33" i="14"/>
  <c r="G33" i="14"/>
  <c r="F33" i="14"/>
  <c r="E33" i="14"/>
  <c r="H27" i="14"/>
  <c r="G27" i="14"/>
  <c r="F27" i="14"/>
  <c r="E27" i="14"/>
  <c r="H18" i="14"/>
  <c r="G18" i="14"/>
  <c r="F18" i="14"/>
  <c r="E18" i="14"/>
  <c r="H9" i="14"/>
  <c r="G9" i="14"/>
  <c r="F9" i="14"/>
  <c r="E9" i="14"/>
  <c r="H59" i="13"/>
  <c r="G59" i="13"/>
  <c r="F59" i="13"/>
  <c r="E59" i="13"/>
  <c r="H50" i="13"/>
  <c r="G50" i="13"/>
  <c r="F50" i="13"/>
  <c r="E50" i="13"/>
  <c r="H45" i="13"/>
  <c r="G45" i="13"/>
  <c r="F45" i="13"/>
  <c r="E45" i="13"/>
  <c r="H37" i="13"/>
  <c r="G37" i="13"/>
  <c r="F37" i="13"/>
  <c r="E37" i="13"/>
  <c r="H33" i="13"/>
  <c r="G33" i="13"/>
  <c r="F33" i="13"/>
  <c r="E33" i="13"/>
  <c r="H27" i="13"/>
  <c r="G27" i="13"/>
  <c r="F27" i="13"/>
  <c r="E27" i="13"/>
  <c r="H18" i="13"/>
  <c r="G18" i="13"/>
  <c r="F18" i="13"/>
  <c r="E18" i="13"/>
  <c r="H9" i="13"/>
  <c r="G9" i="13"/>
  <c r="F9" i="13"/>
  <c r="E9" i="13"/>
  <c r="H59" i="12"/>
  <c r="G59" i="12"/>
  <c r="F59" i="12"/>
  <c r="E59" i="12"/>
  <c r="H50" i="12"/>
  <c r="G50" i="12"/>
  <c r="F50" i="12"/>
  <c r="E50" i="12"/>
  <c r="H45" i="12"/>
  <c r="G45" i="12"/>
  <c r="F45" i="12"/>
  <c r="E45" i="12"/>
  <c r="H37" i="12"/>
  <c r="G37" i="12"/>
  <c r="F37" i="12"/>
  <c r="E37" i="12"/>
  <c r="H33" i="12"/>
  <c r="G33" i="12"/>
  <c r="F33" i="12"/>
  <c r="E33" i="12"/>
  <c r="H27" i="12"/>
  <c r="G27" i="12"/>
  <c r="F27" i="12"/>
  <c r="E27" i="12"/>
  <c r="H18" i="12"/>
  <c r="G18" i="12"/>
  <c r="F18" i="12"/>
  <c r="E18" i="12"/>
  <c r="H9" i="12"/>
  <c r="G9" i="12"/>
  <c r="F9" i="12"/>
  <c r="E9" i="12"/>
  <c r="H59" i="11"/>
  <c r="G59" i="11"/>
  <c r="F59" i="11"/>
  <c r="E59" i="11"/>
  <c r="H50" i="11"/>
  <c r="G50" i="11"/>
  <c r="F50" i="11"/>
  <c r="E50" i="11"/>
  <c r="H45" i="11"/>
  <c r="G45" i="11"/>
  <c r="F45" i="11"/>
  <c r="E45" i="11"/>
  <c r="H37" i="11"/>
  <c r="G37" i="11"/>
  <c r="F37" i="11"/>
  <c r="E37" i="11"/>
  <c r="H33" i="11"/>
  <c r="G33" i="11"/>
  <c r="F33" i="11"/>
  <c r="E33" i="11"/>
  <c r="H27" i="11"/>
  <c r="G27" i="11"/>
  <c r="F27" i="11"/>
  <c r="E27" i="11"/>
  <c r="H18" i="11"/>
  <c r="G18" i="11"/>
  <c r="F18" i="11"/>
  <c r="E18" i="11"/>
  <c r="H9" i="11"/>
  <c r="H8" i="11" s="1"/>
  <c r="K18" i="1" s="1"/>
  <c r="G9" i="11"/>
  <c r="F9" i="11"/>
  <c r="E9" i="11"/>
  <c r="H59" i="10"/>
  <c r="G59" i="10"/>
  <c r="F59" i="10"/>
  <c r="E59" i="10"/>
  <c r="H50" i="10"/>
  <c r="G50" i="10"/>
  <c r="F50" i="10"/>
  <c r="E50" i="10"/>
  <c r="H45" i="10"/>
  <c r="G45" i="10"/>
  <c r="F45" i="10"/>
  <c r="E45" i="10"/>
  <c r="H37" i="10"/>
  <c r="G37" i="10"/>
  <c r="F37" i="10"/>
  <c r="E37" i="10"/>
  <c r="H33" i="10"/>
  <c r="G33" i="10"/>
  <c r="F33" i="10"/>
  <c r="E33" i="10"/>
  <c r="H27" i="10"/>
  <c r="G27" i="10"/>
  <c r="F27" i="10"/>
  <c r="E27" i="10"/>
  <c r="H18" i="10"/>
  <c r="G18" i="10"/>
  <c r="F18" i="10"/>
  <c r="E18" i="10"/>
  <c r="H9" i="10"/>
  <c r="G9" i="10"/>
  <c r="F9" i="10"/>
  <c r="E9" i="10"/>
  <c r="H59" i="9"/>
  <c r="G59" i="9"/>
  <c r="F59" i="9"/>
  <c r="E59" i="9"/>
  <c r="H50" i="9"/>
  <c r="G50" i="9"/>
  <c r="F50" i="9"/>
  <c r="E50" i="9"/>
  <c r="H45" i="9"/>
  <c r="G45" i="9"/>
  <c r="F45" i="9"/>
  <c r="E45" i="9"/>
  <c r="H37" i="9"/>
  <c r="G37" i="9"/>
  <c r="F37" i="9"/>
  <c r="E37" i="9"/>
  <c r="H33" i="9"/>
  <c r="G33" i="9"/>
  <c r="F33" i="9"/>
  <c r="E33" i="9"/>
  <c r="H27" i="9"/>
  <c r="G27" i="9"/>
  <c r="F27" i="9"/>
  <c r="E27" i="9"/>
  <c r="H18" i="9"/>
  <c r="G18" i="9"/>
  <c r="F18" i="9"/>
  <c r="E18" i="9"/>
  <c r="H9" i="9"/>
  <c r="H8" i="9" s="1"/>
  <c r="I18" i="1" s="1"/>
  <c r="G9" i="9"/>
  <c r="F9" i="9"/>
  <c r="E9" i="9"/>
  <c r="H59" i="8"/>
  <c r="G59" i="8"/>
  <c r="F59" i="8"/>
  <c r="E59" i="8"/>
  <c r="H50" i="8"/>
  <c r="G50" i="8"/>
  <c r="F50" i="8"/>
  <c r="E50" i="8"/>
  <c r="H45" i="8"/>
  <c r="G45" i="8"/>
  <c r="F45" i="8"/>
  <c r="E45" i="8"/>
  <c r="H37" i="8"/>
  <c r="G37" i="8"/>
  <c r="F37" i="8"/>
  <c r="E37" i="8"/>
  <c r="H33" i="8"/>
  <c r="G33" i="8"/>
  <c r="F33" i="8"/>
  <c r="E33" i="8"/>
  <c r="H27" i="8"/>
  <c r="G27" i="8"/>
  <c r="F27" i="8"/>
  <c r="E27" i="8"/>
  <c r="H18" i="8"/>
  <c r="G18" i="8"/>
  <c r="F18" i="8"/>
  <c r="E18" i="8"/>
  <c r="H9" i="8"/>
  <c r="G9" i="8"/>
  <c r="F9" i="8"/>
  <c r="E9" i="8"/>
  <c r="H59" i="7"/>
  <c r="G59" i="7"/>
  <c r="F59" i="7"/>
  <c r="E59" i="7"/>
  <c r="H50" i="7"/>
  <c r="G50" i="7"/>
  <c r="F50" i="7"/>
  <c r="E50" i="7"/>
  <c r="H45" i="7"/>
  <c r="G45" i="7"/>
  <c r="F45" i="7"/>
  <c r="E45" i="7"/>
  <c r="H37" i="7"/>
  <c r="G37" i="7"/>
  <c r="F37" i="7"/>
  <c r="E37" i="7"/>
  <c r="H33" i="7"/>
  <c r="G33" i="7"/>
  <c r="F33" i="7"/>
  <c r="E33" i="7"/>
  <c r="H27" i="7"/>
  <c r="G27" i="7"/>
  <c r="F27" i="7"/>
  <c r="E27" i="7"/>
  <c r="H18" i="7"/>
  <c r="G18" i="7"/>
  <c r="F18" i="7"/>
  <c r="E18" i="7"/>
  <c r="H9" i="7"/>
  <c r="G9" i="7"/>
  <c r="F9" i="7"/>
  <c r="E9" i="7"/>
  <c r="H59" i="6"/>
  <c r="G59" i="6"/>
  <c r="F59" i="6"/>
  <c r="E59" i="6"/>
  <c r="H50" i="6"/>
  <c r="G50" i="6"/>
  <c r="F50" i="6"/>
  <c r="E50" i="6"/>
  <c r="H45" i="6"/>
  <c r="G45" i="6"/>
  <c r="F45" i="6"/>
  <c r="E45" i="6"/>
  <c r="H37" i="6"/>
  <c r="G37" i="6"/>
  <c r="F37" i="6"/>
  <c r="E37" i="6"/>
  <c r="H33" i="6"/>
  <c r="G33" i="6"/>
  <c r="F33" i="6"/>
  <c r="E33" i="6"/>
  <c r="H27" i="6"/>
  <c r="G27" i="6"/>
  <c r="F27" i="6"/>
  <c r="E27" i="6"/>
  <c r="H18" i="6"/>
  <c r="G18" i="6"/>
  <c r="F18" i="6"/>
  <c r="E18" i="6"/>
  <c r="H9" i="6"/>
  <c r="G9" i="6"/>
  <c r="F9" i="6"/>
  <c r="E9" i="6"/>
  <c r="H59" i="5"/>
  <c r="G59" i="5"/>
  <c r="F59" i="5"/>
  <c r="E59" i="5"/>
  <c r="H50" i="5"/>
  <c r="G50" i="5"/>
  <c r="F50" i="5"/>
  <c r="E50" i="5"/>
  <c r="H45" i="5"/>
  <c r="G45" i="5"/>
  <c r="F45" i="5"/>
  <c r="E45" i="5"/>
  <c r="H37" i="5"/>
  <c r="G37" i="5"/>
  <c r="F37" i="5"/>
  <c r="E37" i="5"/>
  <c r="H33" i="5"/>
  <c r="G33" i="5"/>
  <c r="F33" i="5"/>
  <c r="E33" i="5"/>
  <c r="H27" i="5"/>
  <c r="G27" i="5"/>
  <c r="F27" i="5"/>
  <c r="E27" i="5"/>
  <c r="H18" i="5"/>
  <c r="G18" i="5"/>
  <c r="F18" i="5"/>
  <c r="E18" i="5"/>
  <c r="H9" i="5"/>
  <c r="G9" i="5"/>
  <c r="F9" i="5"/>
  <c r="E9" i="5"/>
  <c r="H59" i="4"/>
  <c r="G59" i="4"/>
  <c r="F59" i="4"/>
  <c r="E59" i="4"/>
  <c r="H50" i="4"/>
  <c r="G50" i="4"/>
  <c r="F50" i="4"/>
  <c r="E50" i="4"/>
  <c r="H45" i="4"/>
  <c r="G45" i="4"/>
  <c r="F45" i="4"/>
  <c r="E45" i="4"/>
  <c r="H37" i="4"/>
  <c r="G37" i="4"/>
  <c r="F37" i="4"/>
  <c r="E37" i="4"/>
  <c r="H33" i="4"/>
  <c r="G33" i="4"/>
  <c r="F33" i="4"/>
  <c r="E33" i="4"/>
  <c r="H27" i="4"/>
  <c r="G27" i="4"/>
  <c r="F27" i="4"/>
  <c r="E27" i="4"/>
  <c r="H18" i="4"/>
  <c r="G18" i="4"/>
  <c r="F18" i="4"/>
  <c r="E18" i="4"/>
  <c r="H9" i="4"/>
  <c r="G9" i="4"/>
  <c r="F9" i="4"/>
  <c r="E9" i="4"/>
  <c r="T10" i="2"/>
  <c r="T60" i="2"/>
  <c r="T59" i="2" s="1"/>
  <c r="T58" i="2"/>
  <c r="T57" i="2"/>
  <c r="T56" i="2"/>
  <c r="T55" i="2"/>
  <c r="T54" i="2"/>
  <c r="T53" i="2"/>
  <c r="T52" i="2"/>
  <c r="T51" i="2"/>
  <c r="T49" i="2"/>
  <c r="T48" i="2"/>
  <c r="T47" i="2"/>
  <c r="T46" i="2"/>
  <c r="T44" i="2"/>
  <c r="T43" i="2"/>
  <c r="T42" i="2"/>
  <c r="T41" i="2"/>
  <c r="T40" i="2"/>
  <c r="T39" i="2"/>
  <c r="T38" i="2"/>
  <c r="T36" i="2"/>
  <c r="T35" i="2"/>
  <c r="T34" i="2"/>
  <c r="T33" i="2" s="1"/>
  <c r="T32" i="2"/>
  <c r="T31" i="2"/>
  <c r="T30" i="2"/>
  <c r="T29" i="2"/>
  <c r="T28" i="2"/>
  <c r="T26" i="2"/>
  <c r="T25" i="2"/>
  <c r="T24" i="2"/>
  <c r="T23" i="2"/>
  <c r="T22" i="2"/>
  <c r="T21" i="2"/>
  <c r="T20" i="2"/>
  <c r="T19" i="2"/>
  <c r="T17" i="2"/>
  <c r="T16" i="2"/>
  <c r="T15" i="2"/>
  <c r="T14" i="2"/>
  <c r="T13" i="2"/>
  <c r="T12" i="2"/>
  <c r="T11" i="2"/>
  <c r="H59" i="3"/>
  <c r="G59" i="3"/>
  <c r="F59" i="3"/>
  <c r="E59" i="3"/>
  <c r="H50" i="3"/>
  <c r="G50" i="3"/>
  <c r="F50" i="3"/>
  <c r="E50" i="3"/>
  <c r="H45" i="3"/>
  <c r="G45" i="3"/>
  <c r="F45" i="3"/>
  <c r="E45" i="3"/>
  <c r="H37" i="3"/>
  <c r="G37" i="3"/>
  <c r="F37" i="3"/>
  <c r="E37" i="3"/>
  <c r="H33" i="3"/>
  <c r="G33" i="3"/>
  <c r="F33" i="3"/>
  <c r="E33" i="3"/>
  <c r="H27" i="3"/>
  <c r="G27" i="3"/>
  <c r="F27" i="3"/>
  <c r="E27" i="3"/>
  <c r="H18" i="3"/>
  <c r="G18" i="3"/>
  <c r="F18" i="3"/>
  <c r="E18" i="3"/>
  <c r="H9" i="3"/>
  <c r="G9" i="3"/>
  <c r="F9" i="3"/>
  <c r="E9" i="3"/>
  <c r="I59" i="2"/>
  <c r="E8" i="9" l="1"/>
  <c r="I11" i="1" s="1"/>
  <c r="E8" i="15"/>
  <c r="O11" i="1" s="1"/>
  <c r="F8" i="7"/>
  <c r="G12" i="1" s="1"/>
  <c r="H8" i="7"/>
  <c r="G18" i="1" s="1"/>
  <c r="F8" i="6"/>
  <c r="F12" i="1" s="1"/>
  <c r="H8" i="6"/>
  <c r="F18" i="1" s="1"/>
  <c r="G8" i="6"/>
  <c r="F15" i="1" s="1"/>
  <c r="H8" i="10"/>
  <c r="J18" i="1" s="1"/>
  <c r="E8" i="5"/>
  <c r="E11" i="1" s="1"/>
  <c r="G8" i="5"/>
  <c r="E15" i="1" s="1"/>
  <c r="H8" i="5"/>
  <c r="E18" i="1" s="1"/>
  <c r="T45" i="2"/>
  <c r="F8" i="14"/>
  <c r="N12" i="1" s="1"/>
  <c r="F8" i="4"/>
  <c r="D12" i="1" s="1"/>
  <c r="G8" i="13"/>
  <c r="M15" i="1" s="1"/>
  <c r="G8" i="15"/>
  <c r="O15" i="1" s="1"/>
  <c r="E8" i="4"/>
  <c r="D11" i="1" s="1"/>
  <c r="H8" i="4"/>
  <c r="D18" i="1" s="1"/>
  <c r="G8" i="4"/>
  <c r="D15" i="1" s="1"/>
  <c r="F8" i="5"/>
  <c r="E12" i="1" s="1"/>
  <c r="E8" i="6"/>
  <c r="F11" i="1" s="1"/>
  <c r="E8" i="7"/>
  <c r="G11" i="1" s="1"/>
  <c r="H8" i="8"/>
  <c r="H18" i="1" s="1"/>
  <c r="E8" i="8"/>
  <c r="H11" i="1" s="1"/>
  <c r="G8" i="8"/>
  <c r="H15" i="1" s="1"/>
  <c r="F8" i="8"/>
  <c r="H12" i="1" s="1"/>
  <c r="G8" i="9"/>
  <c r="I15" i="1" s="1"/>
  <c r="F8" i="9"/>
  <c r="I12" i="1" s="1"/>
  <c r="F8" i="10"/>
  <c r="J12" i="1" s="1"/>
  <c r="G8" i="10"/>
  <c r="J15" i="1" s="1"/>
  <c r="F8" i="11"/>
  <c r="K12" i="1" s="1"/>
  <c r="G8" i="11"/>
  <c r="K15" i="1" s="1"/>
  <c r="F8" i="12"/>
  <c r="L12" i="1" s="1"/>
  <c r="H8" i="12"/>
  <c r="L18" i="1" s="1"/>
  <c r="E8" i="12"/>
  <c r="L11" i="1" s="1"/>
  <c r="G8" i="12"/>
  <c r="L15" i="1" s="1"/>
  <c r="F8" i="13"/>
  <c r="M12" i="1" s="1"/>
  <c r="H8" i="13"/>
  <c r="M18" i="1" s="1"/>
  <c r="E8" i="13"/>
  <c r="M11" i="1" s="1"/>
  <c r="G8" i="14"/>
  <c r="N15" i="1" s="1"/>
  <c r="E8" i="14"/>
  <c r="N11" i="1" s="1"/>
  <c r="H8" i="14"/>
  <c r="N18" i="1" s="1"/>
  <c r="H8" i="15"/>
  <c r="O18" i="1" s="1"/>
  <c r="F8" i="15"/>
  <c r="O12" i="1" s="1"/>
  <c r="E8" i="16"/>
  <c r="P11" i="1" s="1"/>
  <c r="T18" i="2"/>
  <c r="T37" i="2"/>
  <c r="G8" i="16"/>
  <c r="P15" i="1" s="1"/>
  <c r="E8" i="11"/>
  <c r="K11" i="1" s="1"/>
  <c r="E8" i="10"/>
  <c r="J11" i="1" s="1"/>
  <c r="G8" i="7"/>
  <c r="G15" i="1" s="1"/>
  <c r="T50" i="2"/>
  <c r="T27" i="2"/>
  <c r="T9" i="2"/>
  <c r="F8" i="3"/>
  <c r="C12" i="1" s="1"/>
  <c r="H8" i="3"/>
  <c r="C18" i="1" s="1"/>
  <c r="E8" i="3"/>
  <c r="C11" i="1" s="1"/>
  <c r="G8" i="3"/>
  <c r="C15" i="1" s="1"/>
  <c r="F9" i="2"/>
  <c r="T8" i="2" l="1"/>
  <c r="G9" i="2"/>
  <c r="H59" i="2" l="1"/>
  <c r="H50" i="2"/>
  <c r="H45" i="2"/>
  <c r="H37" i="2"/>
  <c r="H33" i="2"/>
  <c r="H27" i="2"/>
  <c r="H18" i="2"/>
  <c r="H9" i="2"/>
  <c r="L59" i="2"/>
  <c r="K59" i="2"/>
  <c r="J59" i="2"/>
  <c r="G59" i="2"/>
  <c r="F59" i="2"/>
  <c r="L50" i="2"/>
  <c r="K50" i="2"/>
  <c r="J50" i="2"/>
  <c r="I50" i="2"/>
  <c r="G50" i="2"/>
  <c r="F50" i="2"/>
  <c r="L45" i="2"/>
  <c r="K45" i="2"/>
  <c r="J45" i="2"/>
  <c r="I45" i="2"/>
  <c r="G45" i="2"/>
  <c r="F45" i="2"/>
  <c r="L37" i="2"/>
  <c r="K37" i="2"/>
  <c r="J37" i="2"/>
  <c r="I37" i="2"/>
  <c r="G37" i="2"/>
  <c r="F37" i="2"/>
  <c r="L33" i="2"/>
  <c r="K33" i="2"/>
  <c r="J33" i="2"/>
  <c r="I33" i="2"/>
  <c r="G33" i="2"/>
  <c r="F33" i="2"/>
  <c r="L27" i="2"/>
  <c r="K27" i="2"/>
  <c r="J27" i="2"/>
  <c r="I27" i="2"/>
  <c r="G27" i="2"/>
  <c r="F27" i="2"/>
  <c r="L18" i="2"/>
  <c r="K18" i="2"/>
  <c r="J18" i="2"/>
  <c r="I18" i="2"/>
  <c r="G18" i="2"/>
  <c r="F18" i="2"/>
  <c r="L9" i="2"/>
  <c r="K9" i="2"/>
  <c r="J9" i="2"/>
  <c r="I9" i="2"/>
  <c r="E59" i="2"/>
  <c r="E50" i="2"/>
  <c r="E45" i="2"/>
  <c r="E37" i="2"/>
  <c r="E33" i="2"/>
  <c r="E27" i="2"/>
  <c r="E18" i="2"/>
  <c r="E9" i="2"/>
  <c r="H8" i="2" l="1"/>
  <c r="R14" i="1" s="1"/>
  <c r="I8" i="2"/>
  <c r="R15" i="1" s="1"/>
  <c r="K8" i="2"/>
  <c r="R17" i="1" s="1"/>
  <c r="F8" i="2"/>
  <c r="R12" i="1" s="1"/>
  <c r="E8" i="2"/>
  <c r="R11" i="1" s="1"/>
  <c r="G8" i="2"/>
  <c r="R13" i="1" s="1"/>
  <c r="J8" i="2"/>
  <c r="R16" i="1" s="1"/>
  <c r="L8" i="2"/>
  <c r="R18" i="1" s="1"/>
  <c r="Q18" i="1" l="1"/>
  <c r="Q17" i="1"/>
  <c r="Q16" i="1"/>
  <c r="Q15" i="1"/>
  <c r="Q14" i="1"/>
  <c r="Q13" i="1"/>
  <c r="Q12" i="1"/>
  <c r="Q11" i="1"/>
  <c r="R10" i="1"/>
  <c r="R9" i="1" s="1"/>
  <c r="P10" i="1"/>
  <c r="P9" i="1" s="1"/>
  <c r="O10" i="1"/>
  <c r="O9" i="1" s="1"/>
  <c r="N10" i="1"/>
  <c r="N9" i="1" s="1"/>
  <c r="M10" i="1"/>
  <c r="M9" i="1" s="1"/>
  <c r="L10" i="1"/>
  <c r="L9" i="1" s="1"/>
  <c r="K10" i="1"/>
  <c r="K9" i="1" s="1"/>
  <c r="J10" i="1"/>
  <c r="J9" i="1" s="1"/>
  <c r="I10" i="1"/>
  <c r="I9" i="1" s="1"/>
  <c r="H10" i="1"/>
  <c r="H9" i="1" s="1"/>
  <c r="G10" i="1"/>
  <c r="G9" i="1" s="1"/>
  <c r="F10" i="1"/>
  <c r="F9" i="1" s="1"/>
  <c r="E10" i="1"/>
  <c r="E9" i="1" s="1"/>
  <c r="D10" i="1"/>
  <c r="D9" i="1" s="1"/>
  <c r="C10" i="1"/>
  <c r="C9" i="1" s="1"/>
  <c r="Q10" i="1" l="1"/>
  <c r="Q9" i="1" s="1"/>
  <c r="S11" i="1" l="1"/>
  <c r="I60" i="16" s="1"/>
  <c r="S12" i="1"/>
  <c r="J51" i="16" s="1"/>
  <c r="S15" i="1"/>
  <c r="S13" i="1"/>
  <c r="S14" i="1"/>
  <c r="P40" i="2" s="1"/>
  <c r="S16" i="1"/>
  <c r="R43" i="2" s="1"/>
  <c r="Y43" i="2" s="1"/>
  <c r="S17" i="1"/>
  <c r="U17" i="1" s="1"/>
  <c r="W17" i="1" s="1"/>
  <c r="N16" i="2" l="1"/>
  <c r="V16" i="2" s="1"/>
  <c r="N32" i="2"/>
  <c r="V32" i="2" s="1"/>
  <c r="J47" i="3"/>
  <c r="P47" i="3" s="1"/>
  <c r="M17" i="2"/>
  <c r="U17" i="2" s="1"/>
  <c r="J32" i="3"/>
  <c r="P32" i="3" s="1"/>
  <c r="N31" i="2"/>
  <c r="V31" i="2" s="1"/>
  <c r="M47" i="2"/>
  <c r="U47" i="2" s="1"/>
  <c r="J43" i="3"/>
  <c r="P43" i="3" s="1"/>
  <c r="N25" i="2"/>
  <c r="V25" i="2" s="1"/>
  <c r="J55" i="3"/>
  <c r="P55" i="3" s="1"/>
  <c r="I49" i="3"/>
  <c r="O49" i="3" s="1"/>
  <c r="N46" i="2"/>
  <c r="V46" i="2" s="1"/>
  <c r="N44" i="2"/>
  <c r="V44" i="2" s="1"/>
  <c r="I16" i="6"/>
  <c r="O16" i="6" s="1"/>
  <c r="N28" i="2"/>
  <c r="V28" i="2" s="1"/>
  <c r="I29" i="4"/>
  <c r="O29" i="4" s="1"/>
  <c r="N47" i="2"/>
  <c r="V47" i="2" s="1"/>
  <c r="J54" i="3"/>
  <c r="P54" i="3" s="1"/>
  <c r="J35" i="3"/>
  <c r="P35" i="3" s="1"/>
  <c r="J11" i="3"/>
  <c r="P11" i="3" s="1"/>
  <c r="J42" i="3"/>
  <c r="P42" i="3" s="1"/>
  <c r="J13" i="3"/>
  <c r="P13" i="3" s="1"/>
  <c r="J36" i="3"/>
  <c r="P36" i="3" s="1"/>
  <c r="I12" i="7"/>
  <c r="O12" i="7" s="1"/>
  <c r="N60" i="2"/>
  <c r="V60" i="2" s="1"/>
  <c r="V59" i="2" s="1"/>
  <c r="N51" i="2"/>
  <c r="V51" i="2" s="1"/>
  <c r="N57" i="2"/>
  <c r="V57" i="2" s="1"/>
  <c r="N43" i="2"/>
  <c r="V43" i="2" s="1"/>
  <c r="N30" i="2"/>
  <c r="V30" i="2" s="1"/>
  <c r="T12" i="1"/>
  <c r="V12" i="1" s="1"/>
  <c r="J46" i="3"/>
  <c r="P46" i="3" s="1"/>
  <c r="J49" i="3"/>
  <c r="P49" i="3" s="1"/>
  <c r="J17" i="3"/>
  <c r="P17" i="3" s="1"/>
  <c r="I11" i="3"/>
  <c r="O11" i="3" s="1"/>
  <c r="I43" i="7"/>
  <c r="O43" i="7" s="1"/>
  <c r="N52" i="2"/>
  <c r="V52" i="2" s="1"/>
  <c r="N34" i="2"/>
  <c r="V34" i="2" s="1"/>
  <c r="N38" i="2"/>
  <c r="V38" i="2" s="1"/>
  <c r="J26" i="3"/>
  <c r="P26" i="3" s="1"/>
  <c r="N54" i="2"/>
  <c r="V54" i="2" s="1"/>
  <c r="N53" i="2"/>
  <c r="V53" i="2" s="1"/>
  <c r="N49" i="2"/>
  <c r="V49" i="2" s="1"/>
  <c r="N39" i="2"/>
  <c r="V39" i="2" s="1"/>
  <c r="N55" i="2"/>
  <c r="V55" i="2" s="1"/>
  <c r="N42" i="2"/>
  <c r="V42" i="2" s="1"/>
  <c r="N21" i="2"/>
  <c r="V21" i="2" s="1"/>
  <c r="N58" i="2"/>
  <c r="V58" i="2" s="1"/>
  <c r="N29" i="2"/>
  <c r="V29" i="2" s="1"/>
  <c r="N56" i="2"/>
  <c r="V56" i="2" s="1"/>
  <c r="N11" i="2"/>
  <c r="V11" i="2" s="1"/>
  <c r="M30" i="2"/>
  <c r="U30" i="2" s="1"/>
  <c r="J53" i="3"/>
  <c r="P53" i="3" s="1"/>
  <c r="J23" i="3"/>
  <c r="P23" i="3" s="1"/>
  <c r="J20" i="3"/>
  <c r="P20" i="3" s="1"/>
  <c r="I53" i="3"/>
  <c r="O53" i="3" s="1"/>
  <c r="I48" i="7"/>
  <c r="O48" i="7" s="1"/>
  <c r="N10" i="2"/>
  <c r="V10" i="2" s="1"/>
  <c r="J57" i="3"/>
  <c r="P57" i="3" s="1"/>
  <c r="J24" i="3"/>
  <c r="P24" i="3" s="1"/>
  <c r="I29" i="11"/>
  <c r="O29" i="11" s="1"/>
  <c r="N20" i="2"/>
  <c r="V20" i="2" s="1"/>
  <c r="N24" i="2"/>
  <c r="V24" i="2" s="1"/>
  <c r="N13" i="2"/>
  <c r="V13" i="2" s="1"/>
  <c r="J22" i="3"/>
  <c r="P22" i="3" s="1"/>
  <c r="N36" i="2"/>
  <c r="V36" i="2" s="1"/>
  <c r="N35" i="2"/>
  <c r="V35" i="2" s="1"/>
  <c r="N17" i="2"/>
  <c r="V17" i="2" s="1"/>
  <c r="N14" i="2"/>
  <c r="V14" i="2" s="1"/>
  <c r="N22" i="2"/>
  <c r="V22" i="2" s="1"/>
  <c r="M57" i="2"/>
  <c r="U57" i="2" s="1"/>
  <c r="J12" i="3"/>
  <c r="P12" i="3" s="1"/>
  <c r="J10" i="3"/>
  <c r="P10" i="3" s="1"/>
  <c r="J29" i="3"/>
  <c r="P29" i="3" s="1"/>
  <c r="J41" i="3"/>
  <c r="P41" i="3" s="1"/>
  <c r="I42" i="5"/>
  <c r="O42" i="5" s="1"/>
  <c r="I23" i="10"/>
  <c r="O23" i="10" s="1"/>
  <c r="U12" i="1"/>
  <c r="W12" i="1" s="1"/>
  <c r="N41" i="2"/>
  <c r="V41" i="2" s="1"/>
  <c r="N40" i="2"/>
  <c r="V40" i="2" s="1"/>
  <c r="N23" i="2"/>
  <c r="V23" i="2" s="1"/>
  <c r="N15" i="2"/>
  <c r="V15" i="2" s="1"/>
  <c r="N26" i="2"/>
  <c r="V26" i="2" s="1"/>
  <c r="M22" i="2"/>
  <c r="U22" i="2" s="1"/>
  <c r="J44" i="3"/>
  <c r="P44" i="3" s="1"/>
  <c r="J60" i="3"/>
  <c r="J59" i="3" s="1"/>
  <c r="J39" i="3"/>
  <c r="P39" i="3" s="1"/>
  <c r="J51" i="3"/>
  <c r="P51" i="3" s="1"/>
  <c r="I23" i="4"/>
  <c r="O23" i="4" s="1"/>
  <c r="I15" i="11"/>
  <c r="O15" i="11" s="1"/>
  <c r="N19" i="2"/>
  <c r="V19" i="2" s="1"/>
  <c r="N48" i="2"/>
  <c r="V48" i="2" s="1"/>
  <c r="J38" i="3"/>
  <c r="P38" i="3" s="1"/>
  <c r="M21" i="2"/>
  <c r="U21" i="2" s="1"/>
  <c r="M23" i="2"/>
  <c r="U23" i="2" s="1"/>
  <c r="I52" i="3"/>
  <c r="O52" i="3" s="1"/>
  <c r="I20" i="8"/>
  <c r="O20" i="8" s="1"/>
  <c r="I46" i="7"/>
  <c r="O46" i="7" s="1"/>
  <c r="I54" i="7"/>
  <c r="O54" i="7" s="1"/>
  <c r="I36" i="8"/>
  <c r="O36" i="8" s="1"/>
  <c r="M25" i="2"/>
  <c r="U25" i="2" s="1"/>
  <c r="M15" i="2"/>
  <c r="U15" i="2" s="1"/>
  <c r="M60" i="2"/>
  <c r="U60" i="2" s="1"/>
  <c r="U59" i="2" s="1"/>
  <c r="I34" i="3"/>
  <c r="O34" i="3" s="1"/>
  <c r="I58" i="4"/>
  <c r="O58" i="4" s="1"/>
  <c r="I41" i="5"/>
  <c r="O41" i="5" s="1"/>
  <c r="I54" i="6"/>
  <c r="O54" i="6" s="1"/>
  <c r="I41" i="8"/>
  <c r="O41" i="8" s="1"/>
  <c r="M36" i="2"/>
  <c r="U36" i="2" s="1"/>
  <c r="M11" i="2"/>
  <c r="U11" i="2" s="1"/>
  <c r="M34" i="2"/>
  <c r="U34" i="2" s="1"/>
  <c r="M16" i="2"/>
  <c r="U16" i="2" s="1"/>
  <c r="M38" i="2"/>
  <c r="U38" i="2" s="1"/>
  <c r="T11" i="1"/>
  <c r="V11" i="1" s="1"/>
  <c r="I26" i="3"/>
  <c r="O26" i="3" s="1"/>
  <c r="I14" i="3"/>
  <c r="O14" i="3" s="1"/>
  <c r="I41" i="3"/>
  <c r="O41" i="3" s="1"/>
  <c r="I25" i="5"/>
  <c r="O25" i="5" s="1"/>
  <c r="I11" i="5"/>
  <c r="O11" i="5" s="1"/>
  <c r="I42" i="4"/>
  <c r="O42" i="4" s="1"/>
  <c r="I15" i="4"/>
  <c r="O15" i="4" s="1"/>
  <c r="I10" i="8"/>
  <c r="O10" i="8" s="1"/>
  <c r="I21" i="9"/>
  <c r="O21" i="9" s="1"/>
  <c r="I17" i="9"/>
  <c r="O17" i="9" s="1"/>
  <c r="I30" i="9"/>
  <c r="O30" i="9" s="1"/>
  <c r="I28" i="8"/>
  <c r="O28" i="8" s="1"/>
  <c r="I11" i="10"/>
  <c r="O11" i="10" s="1"/>
  <c r="M14" i="2"/>
  <c r="U14" i="2" s="1"/>
  <c r="I15" i="3"/>
  <c r="O15" i="3" s="1"/>
  <c r="I41" i="4"/>
  <c r="O41" i="4" s="1"/>
  <c r="I40" i="10"/>
  <c r="O40" i="10" s="1"/>
  <c r="M28" i="2"/>
  <c r="U28" i="2" s="1"/>
  <c r="I22" i="3"/>
  <c r="O22" i="3" s="1"/>
  <c r="I30" i="7"/>
  <c r="O30" i="7" s="1"/>
  <c r="M41" i="2"/>
  <c r="U41" i="2" s="1"/>
  <c r="M20" i="2"/>
  <c r="U20" i="2" s="1"/>
  <c r="M39" i="2"/>
  <c r="U39" i="2" s="1"/>
  <c r="M48" i="2"/>
  <c r="U48" i="2" s="1"/>
  <c r="M42" i="2"/>
  <c r="U42" i="2" s="1"/>
  <c r="M10" i="2"/>
  <c r="U10" i="2" s="1"/>
  <c r="I29" i="3"/>
  <c r="O29" i="3" s="1"/>
  <c r="I21" i="3"/>
  <c r="O21" i="3" s="1"/>
  <c r="I16" i="3"/>
  <c r="O16" i="3" s="1"/>
  <c r="I40" i="5"/>
  <c r="O40" i="5" s="1"/>
  <c r="I34" i="5"/>
  <c r="O34" i="5" s="1"/>
  <c r="I44" i="4"/>
  <c r="O44" i="4" s="1"/>
  <c r="I15" i="5"/>
  <c r="O15" i="5" s="1"/>
  <c r="I51" i="7"/>
  <c r="O51" i="7" s="1"/>
  <c r="I48" i="5"/>
  <c r="O48" i="5" s="1"/>
  <c r="I31" i="9"/>
  <c r="O31" i="9" s="1"/>
  <c r="I54" i="8"/>
  <c r="O54" i="8" s="1"/>
  <c r="I47" i="9"/>
  <c r="O47" i="9" s="1"/>
  <c r="I52" i="11"/>
  <c r="O52" i="11" s="1"/>
  <c r="M51" i="2"/>
  <c r="U51" i="2" s="1"/>
  <c r="M26" i="2"/>
  <c r="U26" i="2" s="1"/>
  <c r="M54" i="2"/>
  <c r="U54" i="2" s="1"/>
  <c r="I60" i="3"/>
  <c r="O60" i="3" s="1"/>
  <c r="I17" i="5"/>
  <c r="O17" i="5" s="1"/>
  <c r="I54" i="4"/>
  <c r="O54" i="4" s="1"/>
  <c r="I46" i="5"/>
  <c r="O46" i="5" s="1"/>
  <c r="I55" i="6"/>
  <c r="O55" i="6" s="1"/>
  <c r="M58" i="2"/>
  <c r="U58" i="2" s="1"/>
  <c r="M32" i="2"/>
  <c r="U32" i="2" s="1"/>
  <c r="I10" i="3"/>
  <c r="O10" i="3" s="1"/>
  <c r="I36" i="4"/>
  <c r="O36" i="4" s="1"/>
  <c r="I25" i="4"/>
  <c r="O25" i="4" s="1"/>
  <c r="I60" i="7"/>
  <c r="O60" i="7" s="1"/>
  <c r="I25" i="8"/>
  <c r="O25" i="8" s="1"/>
  <c r="I46" i="9"/>
  <c r="O46" i="9" s="1"/>
  <c r="U11" i="1"/>
  <c r="W11" i="1" s="1"/>
  <c r="M46" i="2"/>
  <c r="U46" i="2" s="1"/>
  <c r="M24" i="2"/>
  <c r="U24" i="2" s="1"/>
  <c r="M43" i="2"/>
  <c r="U43" i="2" s="1"/>
  <c r="M55" i="2"/>
  <c r="U55" i="2" s="1"/>
  <c r="M44" i="2"/>
  <c r="U44" i="2" s="1"/>
  <c r="M12" i="2"/>
  <c r="U12" i="2" s="1"/>
  <c r="I36" i="3"/>
  <c r="O36" i="3" s="1"/>
  <c r="I28" i="3"/>
  <c r="O28" i="3" s="1"/>
  <c r="I19" i="3"/>
  <c r="O19" i="3" s="1"/>
  <c r="I44" i="5"/>
  <c r="O44" i="5" s="1"/>
  <c r="I57" i="5"/>
  <c r="O57" i="5" s="1"/>
  <c r="I14" i="5"/>
  <c r="O14" i="5" s="1"/>
  <c r="I53" i="5"/>
  <c r="O53" i="5" s="1"/>
  <c r="I55" i="5"/>
  <c r="O55" i="5" s="1"/>
  <c r="I49" i="5"/>
  <c r="O49" i="5" s="1"/>
  <c r="I55" i="9"/>
  <c r="O55" i="9" s="1"/>
  <c r="I32" i="9"/>
  <c r="O32" i="9" s="1"/>
  <c r="I16" i="10"/>
  <c r="O16" i="10" s="1"/>
  <c r="I55" i="12"/>
  <c r="O55" i="12" s="1"/>
  <c r="M52" i="2"/>
  <c r="U52" i="2" s="1"/>
  <c r="M56" i="2"/>
  <c r="U56" i="2" s="1"/>
  <c r="M49" i="2"/>
  <c r="U49" i="2" s="1"/>
  <c r="I39" i="3"/>
  <c r="O39" i="3" s="1"/>
  <c r="I43" i="9"/>
  <c r="O43" i="9" s="1"/>
  <c r="I25" i="6"/>
  <c r="O25" i="6" s="1"/>
  <c r="I16" i="11"/>
  <c r="O16" i="11" s="1"/>
  <c r="M29" i="2"/>
  <c r="U29" i="2" s="1"/>
  <c r="M40" i="2"/>
  <c r="U40" i="2" s="1"/>
  <c r="I32" i="3"/>
  <c r="O32" i="3" s="1"/>
  <c r="I58" i="3"/>
  <c r="O58" i="3" s="1"/>
  <c r="I51" i="5"/>
  <c r="O51" i="5" s="1"/>
  <c r="I43" i="6"/>
  <c r="O43" i="6" s="1"/>
  <c r="I41" i="6"/>
  <c r="O41" i="6" s="1"/>
  <c r="I25" i="7"/>
  <c r="O25" i="7" s="1"/>
  <c r="I49" i="6"/>
  <c r="O49" i="6" s="1"/>
  <c r="I23" i="11"/>
  <c r="O23" i="11" s="1"/>
  <c r="I55" i="11"/>
  <c r="O55" i="11" s="1"/>
  <c r="M53" i="2"/>
  <c r="U53" i="2" s="1"/>
  <c r="M35" i="2"/>
  <c r="U35" i="2" s="1"/>
  <c r="M19" i="2"/>
  <c r="U19" i="2" s="1"/>
  <c r="M13" i="2"/>
  <c r="U13" i="2" s="1"/>
  <c r="M31" i="2"/>
  <c r="U31" i="2" s="1"/>
  <c r="I46" i="3"/>
  <c r="O46" i="3" s="1"/>
  <c r="I38" i="3"/>
  <c r="O38" i="3" s="1"/>
  <c r="I31" i="6"/>
  <c r="O31" i="6" s="1"/>
  <c r="I10" i="4"/>
  <c r="O10" i="4" s="1"/>
  <c r="I28" i="4"/>
  <c r="O28" i="4" s="1"/>
  <c r="I21" i="4"/>
  <c r="O21" i="4" s="1"/>
  <c r="I35" i="6"/>
  <c r="O35" i="6" s="1"/>
  <c r="I52" i="6"/>
  <c r="O52" i="6" s="1"/>
  <c r="I28" i="7"/>
  <c r="O28" i="7" s="1"/>
  <c r="I56" i="10"/>
  <c r="O56" i="10" s="1"/>
  <c r="I17" i="8"/>
  <c r="O17" i="8" s="1"/>
  <c r="I56" i="8"/>
  <c r="O56" i="8" s="1"/>
  <c r="I10" i="7"/>
  <c r="O10" i="7" s="1"/>
  <c r="I14" i="10"/>
  <c r="O14" i="10" s="1"/>
  <c r="I24" i="11"/>
  <c r="O24" i="11" s="1"/>
  <c r="I42" i="8"/>
  <c r="O42" i="8" s="1"/>
  <c r="I14" i="12"/>
  <c r="O14" i="12" s="1"/>
  <c r="I12" i="14"/>
  <c r="O12" i="14" s="1"/>
  <c r="I53" i="6"/>
  <c r="O53" i="6" s="1"/>
  <c r="I28" i="10"/>
  <c r="O28" i="10" s="1"/>
  <c r="I30" i="8"/>
  <c r="O30" i="8" s="1"/>
  <c r="I29" i="8"/>
  <c r="O29" i="8" s="1"/>
  <c r="I57" i="8"/>
  <c r="O57" i="8" s="1"/>
  <c r="I30" i="10"/>
  <c r="O30" i="10" s="1"/>
  <c r="I17" i="13"/>
  <c r="O17" i="13" s="1"/>
  <c r="I29" i="7"/>
  <c r="O29" i="7" s="1"/>
  <c r="I23" i="6"/>
  <c r="O23" i="6" s="1"/>
  <c r="I10" i="11"/>
  <c r="O10" i="11" s="1"/>
  <c r="I34" i="8"/>
  <c r="O34" i="8" s="1"/>
  <c r="I25" i="9"/>
  <c r="O25" i="9" s="1"/>
  <c r="I21" i="12"/>
  <c r="O21" i="12" s="1"/>
  <c r="I13" i="15"/>
  <c r="O13" i="15" s="1"/>
  <c r="I38" i="7"/>
  <c r="O38" i="7" s="1"/>
  <c r="I32" i="6"/>
  <c r="O32" i="6" s="1"/>
  <c r="I19" i="9"/>
  <c r="O19" i="9" s="1"/>
  <c r="I10" i="9"/>
  <c r="O10" i="9" s="1"/>
  <c r="I48" i="9"/>
  <c r="O48" i="9" s="1"/>
  <c r="I55" i="10"/>
  <c r="O55" i="10" s="1"/>
  <c r="I42" i="3"/>
  <c r="O42" i="3" s="1"/>
  <c r="I55" i="3"/>
  <c r="O55" i="3" s="1"/>
  <c r="I16" i="5"/>
  <c r="O16" i="5" s="1"/>
  <c r="I39" i="5"/>
  <c r="O39" i="5" s="1"/>
  <c r="I11" i="4"/>
  <c r="O11" i="4" s="1"/>
  <c r="I26" i="5"/>
  <c r="O26" i="5" s="1"/>
  <c r="I31" i="5"/>
  <c r="O31" i="5" s="1"/>
  <c r="I43" i="4"/>
  <c r="O43" i="4" s="1"/>
  <c r="I26" i="4"/>
  <c r="O26" i="4" s="1"/>
  <c r="I19" i="4"/>
  <c r="O19" i="4" s="1"/>
  <c r="I39" i="6"/>
  <c r="O39" i="6" s="1"/>
  <c r="I17" i="7"/>
  <c r="O17" i="7" s="1"/>
  <c r="I19" i="7"/>
  <c r="O19" i="7" s="1"/>
  <c r="I47" i="5"/>
  <c r="O47" i="5" s="1"/>
  <c r="I36" i="7"/>
  <c r="O36" i="7" s="1"/>
  <c r="I26" i="9"/>
  <c r="O26" i="9" s="1"/>
  <c r="I21" i="7"/>
  <c r="O21" i="7" s="1"/>
  <c r="I42" i="6"/>
  <c r="O42" i="6" s="1"/>
  <c r="I57" i="11"/>
  <c r="O57" i="11" s="1"/>
  <c r="I54" i="9"/>
  <c r="O54" i="9" s="1"/>
  <c r="I24" i="10"/>
  <c r="O24" i="10" s="1"/>
  <c r="I15" i="13"/>
  <c r="O15" i="13" s="1"/>
  <c r="I31" i="8"/>
  <c r="O31" i="8" s="1"/>
  <c r="I43" i="10"/>
  <c r="O43" i="10" s="1"/>
  <c r="I58" i="8"/>
  <c r="O58" i="8" s="1"/>
  <c r="I40" i="8"/>
  <c r="O40" i="8" s="1"/>
  <c r="I25" i="12"/>
  <c r="O25" i="12" s="1"/>
  <c r="I43" i="11"/>
  <c r="O43" i="11" s="1"/>
  <c r="I58" i="13"/>
  <c r="O58" i="13" s="1"/>
  <c r="I39" i="15"/>
  <c r="O39" i="15" s="1"/>
  <c r="I17" i="3"/>
  <c r="O17" i="3" s="1"/>
  <c r="I23" i="3"/>
  <c r="O23" i="3" s="1"/>
  <c r="I31" i="4"/>
  <c r="O31" i="4" s="1"/>
  <c r="I54" i="5"/>
  <c r="O54" i="5" s="1"/>
  <c r="I46" i="4"/>
  <c r="O46" i="4" s="1"/>
  <c r="I17" i="4"/>
  <c r="O17" i="4" s="1"/>
  <c r="I52" i="10"/>
  <c r="O52" i="10" s="1"/>
  <c r="I32" i="5"/>
  <c r="O32" i="5" s="1"/>
  <c r="I20" i="5"/>
  <c r="O20" i="5" s="1"/>
  <c r="I58" i="6"/>
  <c r="O58" i="6" s="1"/>
  <c r="I17" i="11"/>
  <c r="O17" i="11" s="1"/>
  <c r="I56" i="5"/>
  <c r="O56" i="5" s="1"/>
  <c r="I20" i="6"/>
  <c r="O20" i="6" s="1"/>
  <c r="I13" i="6"/>
  <c r="O13" i="6" s="1"/>
  <c r="I56" i="7"/>
  <c r="O56" i="7" s="1"/>
  <c r="I25" i="11"/>
  <c r="O25" i="11" s="1"/>
  <c r="I39" i="7"/>
  <c r="O39" i="7" s="1"/>
  <c r="I21" i="8"/>
  <c r="O21" i="8" s="1"/>
  <c r="I56" i="6"/>
  <c r="O56" i="6" s="1"/>
  <c r="I32" i="7"/>
  <c r="O32" i="7" s="1"/>
  <c r="I42" i="9"/>
  <c r="O42" i="9" s="1"/>
  <c r="I15" i="10"/>
  <c r="O15" i="10" s="1"/>
  <c r="I36" i="9"/>
  <c r="O36" i="9" s="1"/>
  <c r="I47" i="11"/>
  <c r="O47" i="11" s="1"/>
  <c r="I58" i="9"/>
  <c r="O58" i="9" s="1"/>
  <c r="I49" i="8"/>
  <c r="O49" i="8" s="1"/>
  <c r="I13" i="11"/>
  <c r="O13" i="11" s="1"/>
  <c r="I52" i="12"/>
  <c r="O52" i="12" s="1"/>
  <c r="I34" i="15"/>
  <c r="O34" i="15" s="1"/>
  <c r="I24" i="3"/>
  <c r="O24" i="3" s="1"/>
  <c r="I30" i="3"/>
  <c r="O30" i="3" s="1"/>
  <c r="I16" i="4"/>
  <c r="O16" i="4" s="1"/>
  <c r="I14" i="9"/>
  <c r="O14" i="9" s="1"/>
  <c r="I47" i="4"/>
  <c r="O47" i="4" s="1"/>
  <c r="I23" i="5"/>
  <c r="O23" i="5" s="1"/>
  <c r="I32" i="4"/>
  <c r="O32" i="4" s="1"/>
  <c r="I35" i="5"/>
  <c r="O35" i="5" s="1"/>
  <c r="I47" i="6"/>
  <c r="O47" i="6" s="1"/>
  <c r="I10" i="6"/>
  <c r="O10" i="6" s="1"/>
  <c r="I30" i="6"/>
  <c r="O30" i="6" s="1"/>
  <c r="I58" i="5"/>
  <c r="O58" i="5" s="1"/>
  <c r="I48" i="6"/>
  <c r="O48" i="6" s="1"/>
  <c r="I52" i="7"/>
  <c r="O52" i="7" s="1"/>
  <c r="I12" i="8"/>
  <c r="O12" i="8" s="1"/>
  <c r="I36" i="6"/>
  <c r="O36" i="6" s="1"/>
  <c r="I57" i="7"/>
  <c r="O57" i="7" s="1"/>
  <c r="I24" i="8"/>
  <c r="O24" i="8" s="1"/>
  <c r="I31" i="7"/>
  <c r="O31" i="7" s="1"/>
  <c r="I34" i="7"/>
  <c r="O34" i="7" s="1"/>
  <c r="I13" i="10"/>
  <c r="O13" i="10" s="1"/>
  <c r="I57" i="10"/>
  <c r="O57" i="10" s="1"/>
  <c r="I39" i="9"/>
  <c r="O39" i="9" s="1"/>
  <c r="I39" i="8"/>
  <c r="O39" i="8" s="1"/>
  <c r="I19" i="10"/>
  <c r="O19" i="10" s="1"/>
  <c r="I29" i="9"/>
  <c r="O29" i="9" s="1"/>
  <c r="I20" i="11"/>
  <c r="O20" i="11" s="1"/>
  <c r="I28" i="13"/>
  <c r="O28" i="13" s="1"/>
  <c r="I60" i="15"/>
  <c r="I59" i="15" s="1"/>
  <c r="I31" i="3"/>
  <c r="O31" i="3" s="1"/>
  <c r="I47" i="3"/>
  <c r="O47" i="3" s="1"/>
  <c r="I20" i="4"/>
  <c r="O20" i="4" s="1"/>
  <c r="I38" i="5"/>
  <c r="O38" i="5" s="1"/>
  <c r="I48" i="4"/>
  <c r="O48" i="4" s="1"/>
  <c r="I28" i="5"/>
  <c r="O28" i="5" s="1"/>
  <c r="I29" i="5"/>
  <c r="O29" i="5" s="1"/>
  <c r="I36" i="5"/>
  <c r="O36" i="5" s="1"/>
  <c r="I56" i="4"/>
  <c r="O56" i="4" s="1"/>
  <c r="I14" i="6"/>
  <c r="O14" i="6" s="1"/>
  <c r="I23" i="7"/>
  <c r="O23" i="7" s="1"/>
  <c r="I19" i="6"/>
  <c r="O19" i="6" s="1"/>
  <c r="I51" i="6"/>
  <c r="O51" i="6" s="1"/>
  <c r="I57" i="9"/>
  <c r="O57" i="9" s="1"/>
  <c r="I13" i="8"/>
  <c r="O13" i="8" s="1"/>
  <c r="I40" i="6"/>
  <c r="O40" i="6" s="1"/>
  <c r="I34" i="10"/>
  <c r="O34" i="10" s="1"/>
  <c r="I16" i="9"/>
  <c r="O16" i="9" s="1"/>
  <c r="I52" i="8"/>
  <c r="O52" i="8" s="1"/>
  <c r="I35" i="7"/>
  <c r="O35" i="7" s="1"/>
  <c r="I22" i="10"/>
  <c r="O22" i="10" s="1"/>
  <c r="I46" i="11"/>
  <c r="O46" i="11" s="1"/>
  <c r="I44" i="9"/>
  <c r="O44" i="9" s="1"/>
  <c r="I47" i="8"/>
  <c r="O47" i="8" s="1"/>
  <c r="I25" i="10"/>
  <c r="O25" i="10" s="1"/>
  <c r="I49" i="9"/>
  <c r="O49" i="9" s="1"/>
  <c r="I56" i="11"/>
  <c r="O56" i="11" s="1"/>
  <c r="I58" i="11"/>
  <c r="O58" i="11" s="1"/>
  <c r="J58" i="3"/>
  <c r="P58" i="3" s="1"/>
  <c r="J14" i="3"/>
  <c r="P14" i="3" s="1"/>
  <c r="J56" i="3"/>
  <c r="P56" i="3" s="1"/>
  <c r="J21" i="3"/>
  <c r="P21" i="3" s="1"/>
  <c r="J31" i="3"/>
  <c r="P31" i="3" s="1"/>
  <c r="N12" i="2"/>
  <c r="V12" i="2" s="1"/>
  <c r="I43" i="3"/>
  <c r="O43" i="3" s="1"/>
  <c r="I25" i="3"/>
  <c r="O25" i="3" s="1"/>
  <c r="I56" i="3"/>
  <c r="O56" i="3" s="1"/>
  <c r="I48" i="3"/>
  <c r="O48" i="3" s="1"/>
  <c r="I40" i="3"/>
  <c r="O40" i="3" s="1"/>
  <c r="I34" i="4"/>
  <c r="O34" i="4" s="1"/>
  <c r="I40" i="4"/>
  <c r="O40" i="4" s="1"/>
  <c r="I11" i="6"/>
  <c r="O11" i="6" s="1"/>
  <c r="I12" i="4"/>
  <c r="O12" i="4" s="1"/>
  <c r="I51" i="4"/>
  <c r="O51" i="4" s="1"/>
  <c r="I16" i="7"/>
  <c r="O16" i="7" s="1"/>
  <c r="I12" i="5"/>
  <c r="O12" i="5" s="1"/>
  <c r="I39" i="4"/>
  <c r="O39" i="4" s="1"/>
  <c r="I49" i="4"/>
  <c r="O49" i="4" s="1"/>
  <c r="I46" i="6"/>
  <c r="O46" i="6" s="1"/>
  <c r="I21" i="5"/>
  <c r="O21" i="5" s="1"/>
  <c r="I30" i="4"/>
  <c r="O30" i="4" s="1"/>
  <c r="I22" i="6"/>
  <c r="O22" i="6" s="1"/>
  <c r="I15" i="9"/>
  <c r="O15" i="9" s="1"/>
  <c r="I34" i="6"/>
  <c r="O34" i="6" s="1"/>
  <c r="I60" i="5"/>
  <c r="I59" i="5" s="1"/>
  <c r="I16" i="8"/>
  <c r="O16" i="8" s="1"/>
  <c r="I11" i="7"/>
  <c r="O11" i="7" s="1"/>
  <c r="I44" i="6"/>
  <c r="O44" i="6" s="1"/>
  <c r="I44" i="7"/>
  <c r="O44" i="7" s="1"/>
  <c r="I15" i="8"/>
  <c r="O15" i="8" s="1"/>
  <c r="I32" i="10"/>
  <c r="O32" i="10" s="1"/>
  <c r="I13" i="7"/>
  <c r="O13" i="7" s="1"/>
  <c r="I58" i="7"/>
  <c r="O58" i="7" s="1"/>
  <c r="I14" i="7"/>
  <c r="O14" i="7" s="1"/>
  <c r="I60" i="9"/>
  <c r="O60" i="9" s="1"/>
  <c r="I60" i="6"/>
  <c r="I59" i="6" s="1"/>
  <c r="I35" i="10"/>
  <c r="O35" i="10" s="1"/>
  <c r="I41" i="7"/>
  <c r="O41" i="7" s="1"/>
  <c r="I20" i="9"/>
  <c r="O20" i="9" s="1"/>
  <c r="I51" i="10"/>
  <c r="O51" i="10" s="1"/>
  <c r="I11" i="11"/>
  <c r="O11" i="11" s="1"/>
  <c r="I38" i="8"/>
  <c r="O38" i="8" s="1"/>
  <c r="I51" i="9"/>
  <c r="O51" i="9" s="1"/>
  <c r="I32" i="8"/>
  <c r="O32" i="8" s="1"/>
  <c r="I11" i="9"/>
  <c r="O11" i="9" s="1"/>
  <c r="I29" i="10"/>
  <c r="O29" i="10" s="1"/>
  <c r="I43" i="8"/>
  <c r="O43" i="8" s="1"/>
  <c r="I31" i="10"/>
  <c r="O31" i="10" s="1"/>
  <c r="I40" i="13"/>
  <c r="O40" i="13" s="1"/>
  <c r="I36" i="11"/>
  <c r="O36" i="11" s="1"/>
  <c r="I32" i="13"/>
  <c r="O32" i="13" s="1"/>
  <c r="I53" i="14"/>
  <c r="O53" i="14" s="1"/>
  <c r="J19" i="3"/>
  <c r="P19" i="3" s="1"/>
  <c r="J40" i="3"/>
  <c r="P40" i="3" s="1"/>
  <c r="J16" i="3"/>
  <c r="P16" i="3" s="1"/>
  <c r="J25" i="3"/>
  <c r="P25" i="3" s="1"/>
  <c r="J34" i="3"/>
  <c r="P34" i="3" s="1"/>
  <c r="I13" i="3"/>
  <c r="O13" i="3" s="1"/>
  <c r="I51" i="3"/>
  <c r="O51" i="3" s="1"/>
  <c r="I44" i="3"/>
  <c r="O44" i="3" s="1"/>
  <c r="I38" i="4"/>
  <c r="O38" i="4" s="1"/>
  <c r="I24" i="5"/>
  <c r="O24" i="5" s="1"/>
  <c r="I21" i="6"/>
  <c r="O21" i="6" s="1"/>
  <c r="I22" i="4"/>
  <c r="O22" i="4" s="1"/>
  <c r="I52" i="4"/>
  <c r="O52" i="4" s="1"/>
  <c r="I44" i="8"/>
  <c r="O44" i="8" s="1"/>
  <c r="I13" i="5"/>
  <c r="O13" i="5" s="1"/>
  <c r="I10" i="5"/>
  <c r="O10" i="5" s="1"/>
  <c r="I53" i="4"/>
  <c r="O53" i="4" s="1"/>
  <c r="I55" i="7"/>
  <c r="O55" i="7" s="1"/>
  <c r="I43" i="5"/>
  <c r="O43" i="5" s="1"/>
  <c r="I55" i="4"/>
  <c r="O55" i="4" s="1"/>
  <c r="I24" i="6"/>
  <c r="O24" i="6" s="1"/>
  <c r="I53" i="10"/>
  <c r="O53" i="10" s="1"/>
  <c r="I38" i="6"/>
  <c r="O38" i="6" s="1"/>
  <c r="I12" i="6"/>
  <c r="O12" i="6" s="1"/>
  <c r="I41" i="9"/>
  <c r="O41" i="9" s="1"/>
  <c r="I11" i="8"/>
  <c r="O11" i="8" s="1"/>
  <c r="I24" i="7"/>
  <c r="O24" i="7" s="1"/>
  <c r="I47" i="7"/>
  <c r="O47" i="7" s="1"/>
  <c r="I22" i="8"/>
  <c r="O22" i="8" s="1"/>
  <c r="I36" i="10"/>
  <c r="O36" i="10" s="1"/>
  <c r="I20" i="7"/>
  <c r="O20" i="7" s="1"/>
  <c r="I35" i="9"/>
  <c r="O35" i="9" s="1"/>
  <c r="I22" i="7"/>
  <c r="O22" i="7" s="1"/>
  <c r="I21" i="10"/>
  <c r="O21" i="10" s="1"/>
  <c r="I15" i="7"/>
  <c r="O15" i="7" s="1"/>
  <c r="I39" i="10"/>
  <c r="O39" i="10" s="1"/>
  <c r="I42" i="7"/>
  <c r="O42" i="7" s="1"/>
  <c r="I34" i="9"/>
  <c r="O34" i="9" s="1"/>
  <c r="I58" i="10"/>
  <c r="O58" i="10" s="1"/>
  <c r="I12" i="11"/>
  <c r="O12" i="11" s="1"/>
  <c r="I55" i="8"/>
  <c r="O55" i="8" s="1"/>
  <c r="I52" i="9"/>
  <c r="O52" i="9" s="1"/>
  <c r="I35" i="8"/>
  <c r="O35" i="8" s="1"/>
  <c r="I24" i="9"/>
  <c r="O24" i="9" s="1"/>
  <c r="I44" i="10"/>
  <c r="O44" i="10" s="1"/>
  <c r="I48" i="8"/>
  <c r="O48" i="8" s="1"/>
  <c r="I48" i="10"/>
  <c r="O48" i="10" s="1"/>
  <c r="I21" i="11"/>
  <c r="O21" i="11" s="1"/>
  <c r="I54" i="11"/>
  <c r="O54" i="11" s="1"/>
  <c r="I57" i="12"/>
  <c r="O57" i="12" s="1"/>
  <c r="I54" i="14"/>
  <c r="O54" i="14" s="1"/>
  <c r="I26" i="15"/>
  <c r="O26" i="15" s="1"/>
  <c r="J15" i="3"/>
  <c r="P15" i="3" s="1"/>
  <c r="J28" i="3"/>
  <c r="P28" i="3" s="1"/>
  <c r="J30" i="3"/>
  <c r="P30" i="3" s="1"/>
  <c r="J52" i="3"/>
  <c r="P52" i="3" s="1"/>
  <c r="J48" i="3"/>
  <c r="P48" i="3" s="1"/>
  <c r="I57" i="3"/>
  <c r="O57" i="3" s="1"/>
  <c r="I35" i="3"/>
  <c r="O35" i="3" s="1"/>
  <c r="I20" i="3"/>
  <c r="O20" i="3" s="1"/>
  <c r="I12" i="3"/>
  <c r="O12" i="3" s="1"/>
  <c r="I54" i="3"/>
  <c r="O54" i="3" s="1"/>
  <c r="I22" i="9"/>
  <c r="O22" i="9" s="1"/>
  <c r="I30" i="5"/>
  <c r="O30" i="5" s="1"/>
  <c r="I35" i="4"/>
  <c r="O35" i="4" s="1"/>
  <c r="I24" i="4"/>
  <c r="O24" i="4" s="1"/>
  <c r="I60" i="4"/>
  <c r="O60" i="4" s="1"/>
  <c r="I57" i="4"/>
  <c r="O57" i="4" s="1"/>
  <c r="I52" i="5"/>
  <c r="O52" i="5" s="1"/>
  <c r="I13" i="4"/>
  <c r="O13" i="4" s="1"/>
  <c r="I19" i="5"/>
  <c r="O19" i="5" s="1"/>
  <c r="I14" i="4"/>
  <c r="O14" i="4" s="1"/>
  <c r="I51" i="8"/>
  <c r="O51" i="8" s="1"/>
  <c r="I22" i="5"/>
  <c r="O22" i="5" s="1"/>
  <c r="I26" i="6"/>
  <c r="O26" i="6" s="1"/>
  <c r="I15" i="6"/>
  <c r="O15" i="6" s="1"/>
  <c r="I49" i="7"/>
  <c r="O49" i="7" s="1"/>
  <c r="I29" i="6"/>
  <c r="O29" i="6" s="1"/>
  <c r="I17" i="6"/>
  <c r="O17" i="6" s="1"/>
  <c r="I12" i="10"/>
  <c r="O12" i="10" s="1"/>
  <c r="I14" i="8"/>
  <c r="O14" i="8" s="1"/>
  <c r="I53" i="7"/>
  <c r="O53" i="7" s="1"/>
  <c r="I53" i="8"/>
  <c r="O53" i="8" s="1"/>
  <c r="I28" i="6"/>
  <c r="O28" i="6" s="1"/>
  <c r="I26" i="7"/>
  <c r="O26" i="7" s="1"/>
  <c r="I38" i="10"/>
  <c r="O38" i="10" s="1"/>
  <c r="I40" i="7"/>
  <c r="O40" i="7" s="1"/>
  <c r="I41" i="10"/>
  <c r="O41" i="10" s="1"/>
  <c r="I26" i="8"/>
  <c r="O26" i="8" s="1"/>
  <c r="I57" i="6"/>
  <c r="O57" i="6" s="1"/>
  <c r="I23" i="8"/>
  <c r="O23" i="8" s="1"/>
  <c r="I56" i="9"/>
  <c r="O56" i="9" s="1"/>
  <c r="I38" i="9"/>
  <c r="O38" i="9" s="1"/>
  <c r="I31" i="12"/>
  <c r="O31" i="12" s="1"/>
  <c r="I23" i="9"/>
  <c r="O23" i="9" s="1"/>
  <c r="I42" i="10"/>
  <c r="O42" i="10" s="1"/>
  <c r="I46" i="8"/>
  <c r="O46" i="8" s="1"/>
  <c r="I40" i="9"/>
  <c r="O40" i="9" s="1"/>
  <c r="I19" i="8"/>
  <c r="O19" i="8" s="1"/>
  <c r="I60" i="8"/>
  <c r="O60" i="8" s="1"/>
  <c r="I26" i="11"/>
  <c r="O26" i="11" s="1"/>
  <c r="I32" i="11"/>
  <c r="O32" i="11" s="1"/>
  <c r="I47" i="12"/>
  <c r="O47" i="12" s="1"/>
  <c r="I16" i="14"/>
  <c r="O16" i="14" s="1"/>
  <c r="I53" i="16"/>
  <c r="O53" i="16" s="1"/>
  <c r="I53" i="9"/>
  <c r="O53" i="9" s="1"/>
  <c r="I46" i="10"/>
  <c r="I30" i="11"/>
  <c r="O30" i="11" s="1"/>
  <c r="I14" i="11"/>
  <c r="O14" i="11" s="1"/>
  <c r="I22" i="11"/>
  <c r="O22" i="11" s="1"/>
  <c r="I17" i="12"/>
  <c r="O17" i="12" s="1"/>
  <c r="I10" i="12"/>
  <c r="O10" i="12" s="1"/>
  <c r="I34" i="12"/>
  <c r="I40" i="12"/>
  <c r="O40" i="12" s="1"/>
  <c r="I35" i="13"/>
  <c r="O35" i="13" s="1"/>
  <c r="I53" i="13"/>
  <c r="O53" i="13" s="1"/>
  <c r="I19" i="14"/>
  <c r="O19" i="14" s="1"/>
  <c r="I29" i="16"/>
  <c r="O29" i="16" s="1"/>
  <c r="I47" i="15"/>
  <c r="O47" i="15" s="1"/>
  <c r="I10" i="10"/>
  <c r="O10" i="10" s="1"/>
  <c r="I47" i="10"/>
  <c r="O47" i="10" s="1"/>
  <c r="I53" i="11"/>
  <c r="O53" i="11" s="1"/>
  <c r="I19" i="11"/>
  <c r="O19" i="11" s="1"/>
  <c r="I31" i="11"/>
  <c r="O31" i="11" s="1"/>
  <c r="I48" i="12"/>
  <c r="O48" i="12" s="1"/>
  <c r="I35" i="12"/>
  <c r="O35" i="12" s="1"/>
  <c r="I46" i="12"/>
  <c r="I49" i="12"/>
  <c r="O49" i="12" s="1"/>
  <c r="I14" i="14"/>
  <c r="O14" i="14" s="1"/>
  <c r="I53" i="12"/>
  <c r="O53" i="12" s="1"/>
  <c r="I31" i="15"/>
  <c r="O31" i="15" s="1"/>
  <c r="I48" i="14"/>
  <c r="O48" i="14" s="1"/>
  <c r="I55" i="16"/>
  <c r="O55" i="16" s="1"/>
  <c r="I20" i="16"/>
  <c r="O20" i="16" s="1"/>
  <c r="I12" i="9"/>
  <c r="O12" i="9" s="1"/>
  <c r="I17" i="10"/>
  <c r="O17" i="10" s="1"/>
  <c r="I49" i="10"/>
  <c r="O49" i="10" s="1"/>
  <c r="I34" i="13"/>
  <c r="O34" i="13" s="1"/>
  <c r="I38" i="11"/>
  <c r="O38" i="11" s="1"/>
  <c r="I60" i="11"/>
  <c r="I59" i="11" s="1"/>
  <c r="I13" i="13"/>
  <c r="O13" i="13" s="1"/>
  <c r="I51" i="11"/>
  <c r="O51" i="11" s="1"/>
  <c r="I16" i="12"/>
  <c r="O16" i="12" s="1"/>
  <c r="I11" i="12"/>
  <c r="O11" i="12" s="1"/>
  <c r="I58" i="12"/>
  <c r="O58" i="12" s="1"/>
  <c r="I10" i="14"/>
  <c r="O10" i="14" s="1"/>
  <c r="I31" i="14"/>
  <c r="O31" i="14" s="1"/>
  <c r="I55" i="15"/>
  <c r="O55" i="15" s="1"/>
  <c r="I21" i="16"/>
  <c r="O21" i="16" s="1"/>
  <c r="I13" i="9"/>
  <c r="O13" i="9" s="1"/>
  <c r="I20" i="10"/>
  <c r="O20" i="10" s="1"/>
  <c r="I60" i="10"/>
  <c r="I59" i="10" s="1"/>
  <c r="I39" i="13"/>
  <c r="O39" i="13" s="1"/>
  <c r="I24" i="12"/>
  <c r="O24" i="12" s="1"/>
  <c r="I39" i="12"/>
  <c r="O39" i="12" s="1"/>
  <c r="I40" i="11"/>
  <c r="O40" i="11" s="1"/>
  <c r="I13" i="12"/>
  <c r="O13" i="12" s="1"/>
  <c r="I19" i="12"/>
  <c r="O19" i="12" s="1"/>
  <c r="I22" i="12"/>
  <c r="O22" i="12" s="1"/>
  <c r="I46" i="13"/>
  <c r="O46" i="13" s="1"/>
  <c r="I38" i="13"/>
  <c r="O38" i="13" s="1"/>
  <c r="I32" i="14"/>
  <c r="O32" i="14" s="1"/>
  <c r="I16" i="16"/>
  <c r="O16" i="16" s="1"/>
  <c r="I23" i="16"/>
  <c r="O23" i="16" s="1"/>
  <c r="I28" i="9"/>
  <c r="O28" i="9" s="1"/>
  <c r="I26" i="10"/>
  <c r="O26" i="10" s="1"/>
  <c r="I28" i="11"/>
  <c r="O28" i="11" s="1"/>
  <c r="I54" i="10"/>
  <c r="O54" i="10" s="1"/>
  <c r="I30" i="13"/>
  <c r="O30" i="13" s="1"/>
  <c r="I60" i="13"/>
  <c r="O60" i="13" s="1"/>
  <c r="I41" i="11"/>
  <c r="O41" i="11" s="1"/>
  <c r="I32" i="12"/>
  <c r="O32" i="12" s="1"/>
  <c r="I38" i="12"/>
  <c r="O38" i="12" s="1"/>
  <c r="I43" i="12"/>
  <c r="O43" i="12" s="1"/>
  <c r="I17" i="14"/>
  <c r="O17" i="14" s="1"/>
  <c r="I40" i="14"/>
  <c r="O40" i="14" s="1"/>
  <c r="I51" i="14"/>
  <c r="O51" i="14" s="1"/>
  <c r="I40" i="15"/>
  <c r="O40" i="15" s="1"/>
  <c r="I34" i="11"/>
  <c r="O34" i="11" s="1"/>
  <c r="I39" i="11"/>
  <c r="O39" i="11" s="1"/>
  <c r="I26" i="13"/>
  <c r="O26" i="13" s="1"/>
  <c r="I23" i="12"/>
  <c r="O23" i="12" s="1"/>
  <c r="I14" i="13"/>
  <c r="O14" i="13" s="1"/>
  <c r="I13" i="14"/>
  <c r="O13" i="14" s="1"/>
  <c r="I34" i="14"/>
  <c r="O34" i="14" s="1"/>
  <c r="I28" i="12"/>
  <c r="O28" i="12" s="1"/>
  <c r="I23" i="14"/>
  <c r="O23" i="14" s="1"/>
  <c r="I47" i="13"/>
  <c r="O47" i="13" s="1"/>
  <c r="I12" i="13"/>
  <c r="O12" i="13" s="1"/>
  <c r="I35" i="14"/>
  <c r="O35" i="14" s="1"/>
  <c r="I15" i="15"/>
  <c r="O15" i="15" s="1"/>
  <c r="I55" i="14"/>
  <c r="O55" i="14" s="1"/>
  <c r="I10" i="16"/>
  <c r="O10" i="16" s="1"/>
  <c r="J17" i="4"/>
  <c r="P17" i="4" s="1"/>
  <c r="I49" i="11"/>
  <c r="O49" i="11" s="1"/>
  <c r="I44" i="11"/>
  <c r="O44" i="11" s="1"/>
  <c r="I35" i="11"/>
  <c r="O35" i="11" s="1"/>
  <c r="I29" i="12"/>
  <c r="O29" i="12" s="1"/>
  <c r="I26" i="14"/>
  <c r="O26" i="14" s="1"/>
  <c r="I15" i="12"/>
  <c r="O15" i="12" s="1"/>
  <c r="I36" i="12"/>
  <c r="O36" i="12" s="1"/>
  <c r="I29" i="13"/>
  <c r="O29" i="13" s="1"/>
  <c r="I51" i="12"/>
  <c r="O51" i="12" s="1"/>
  <c r="I15" i="14"/>
  <c r="O15" i="14" s="1"/>
  <c r="I25" i="13"/>
  <c r="O25" i="13" s="1"/>
  <c r="I36" i="14"/>
  <c r="O36" i="14" s="1"/>
  <c r="I24" i="16"/>
  <c r="O24" i="16" s="1"/>
  <c r="I49" i="15"/>
  <c r="O49" i="15" s="1"/>
  <c r="I54" i="16"/>
  <c r="O54" i="16" s="1"/>
  <c r="J10" i="4"/>
  <c r="P10" i="4" s="1"/>
  <c r="J25" i="4"/>
  <c r="P25" i="4" s="1"/>
  <c r="J29" i="7"/>
  <c r="P29" i="7" s="1"/>
  <c r="I30" i="12"/>
  <c r="O30" i="12" s="1"/>
  <c r="I44" i="12"/>
  <c r="O44" i="12" s="1"/>
  <c r="I42" i="11"/>
  <c r="O42" i="11" s="1"/>
  <c r="I48" i="11"/>
  <c r="O48" i="11" s="1"/>
  <c r="I26" i="12"/>
  <c r="O26" i="12" s="1"/>
  <c r="I20" i="12"/>
  <c r="O20" i="12" s="1"/>
  <c r="I56" i="12"/>
  <c r="O56" i="12" s="1"/>
  <c r="I31" i="13"/>
  <c r="O31" i="13" s="1"/>
  <c r="I43" i="13"/>
  <c r="O43" i="13" s="1"/>
  <c r="I54" i="13"/>
  <c r="O54" i="13" s="1"/>
  <c r="I41" i="14"/>
  <c r="O41" i="14" s="1"/>
  <c r="I38" i="15"/>
  <c r="O38" i="15" s="1"/>
  <c r="I25" i="16"/>
  <c r="O25" i="16" s="1"/>
  <c r="I36" i="15"/>
  <c r="O36" i="15" s="1"/>
  <c r="I44" i="15"/>
  <c r="O44" i="15" s="1"/>
  <c r="J57" i="6"/>
  <c r="P57" i="6" s="1"/>
  <c r="I19" i="13"/>
  <c r="O19" i="13" s="1"/>
  <c r="I41" i="12"/>
  <c r="O41" i="12" s="1"/>
  <c r="I36" i="13"/>
  <c r="O36" i="13" s="1"/>
  <c r="I21" i="13"/>
  <c r="O21" i="13" s="1"/>
  <c r="I48" i="13"/>
  <c r="O48" i="13" s="1"/>
  <c r="I11" i="13"/>
  <c r="O11" i="13" s="1"/>
  <c r="I30" i="14"/>
  <c r="O30" i="14" s="1"/>
  <c r="I20" i="14"/>
  <c r="O20" i="14" s="1"/>
  <c r="I56" i="15"/>
  <c r="O56" i="15" s="1"/>
  <c r="I46" i="14"/>
  <c r="O46" i="14" s="1"/>
  <c r="I49" i="14"/>
  <c r="O49" i="14" s="1"/>
  <c r="I11" i="15"/>
  <c r="O11" i="15" s="1"/>
  <c r="I31" i="16"/>
  <c r="O31" i="16" s="1"/>
  <c r="I51" i="16"/>
  <c r="O51" i="16" s="1"/>
  <c r="J12" i="4"/>
  <c r="P12" i="4" s="1"/>
  <c r="J38" i="7"/>
  <c r="P38" i="7" s="1"/>
  <c r="I29" i="14"/>
  <c r="O29" i="14" s="1"/>
  <c r="I42" i="12"/>
  <c r="O42" i="12" s="1"/>
  <c r="I41" i="13"/>
  <c r="O41" i="13" s="1"/>
  <c r="I22" i="13"/>
  <c r="O22" i="13" s="1"/>
  <c r="I52" i="13"/>
  <c r="O52" i="13" s="1"/>
  <c r="I24" i="13"/>
  <c r="O24" i="13" s="1"/>
  <c r="I39" i="14"/>
  <c r="O39" i="14" s="1"/>
  <c r="I21" i="14"/>
  <c r="O21" i="14" s="1"/>
  <c r="I14" i="16"/>
  <c r="O14" i="16" s="1"/>
  <c r="I52" i="14"/>
  <c r="O52" i="14" s="1"/>
  <c r="I22" i="15"/>
  <c r="O22" i="15" s="1"/>
  <c r="I25" i="15"/>
  <c r="O25" i="15" s="1"/>
  <c r="I34" i="16"/>
  <c r="O34" i="16" s="1"/>
  <c r="I17" i="16"/>
  <c r="O17" i="16" s="1"/>
  <c r="J51" i="4"/>
  <c r="P51" i="4" s="1"/>
  <c r="J10" i="13"/>
  <c r="P10" i="13" s="1"/>
  <c r="J13" i="4"/>
  <c r="P13" i="4" s="1"/>
  <c r="J26" i="7"/>
  <c r="P26" i="7" s="1"/>
  <c r="J16" i="8"/>
  <c r="P16" i="8" s="1"/>
  <c r="I12" i="12"/>
  <c r="O12" i="12" s="1"/>
  <c r="I35" i="15"/>
  <c r="O35" i="15" s="1"/>
  <c r="I12" i="15"/>
  <c r="O12" i="15" s="1"/>
  <c r="I51" i="13"/>
  <c r="O51" i="13" s="1"/>
  <c r="I49" i="13"/>
  <c r="O49" i="13" s="1"/>
  <c r="I54" i="12"/>
  <c r="O54" i="12" s="1"/>
  <c r="I58" i="14"/>
  <c r="O58" i="14" s="1"/>
  <c r="I28" i="15"/>
  <c r="O28" i="15" s="1"/>
  <c r="I42" i="14"/>
  <c r="O42" i="14" s="1"/>
  <c r="I20" i="15"/>
  <c r="O20" i="15" s="1"/>
  <c r="I32" i="15"/>
  <c r="O32" i="15" s="1"/>
  <c r="I41" i="15"/>
  <c r="O41" i="15" s="1"/>
  <c r="I52" i="15"/>
  <c r="O52" i="15" s="1"/>
  <c r="J42" i="5"/>
  <c r="P42" i="5" s="1"/>
  <c r="J49" i="4"/>
  <c r="P49" i="4" s="1"/>
  <c r="J15" i="9"/>
  <c r="P15" i="9" s="1"/>
  <c r="J23" i="5"/>
  <c r="P23" i="5" s="1"/>
  <c r="J42" i="7"/>
  <c r="P42" i="7" s="1"/>
  <c r="I15" i="16"/>
  <c r="O15" i="16" s="1"/>
  <c r="I57" i="15"/>
  <c r="O57" i="15" s="1"/>
  <c r="I25" i="14"/>
  <c r="O25" i="14" s="1"/>
  <c r="I38" i="16"/>
  <c r="O38" i="16" s="1"/>
  <c r="I39" i="16"/>
  <c r="O39" i="16" s="1"/>
  <c r="I48" i="15"/>
  <c r="O48" i="15" s="1"/>
  <c r="J55" i="4"/>
  <c r="P55" i="4" s="1"/>
  <c r="J36" i="6"/>
  <c r="P36" i="6" s="1"/>
  <c r="J52" i="4"/>
  <c r="P52" i="4" s="1"/>
  <c r="J26" i="4"/>
  <c r="P26" i="4" s="1"/>
  <c r="J21" i="7"/>
  <c r="P21" i="7" s="1"/>
  <c r="J23" i="8"/>
  <c r="P23" i="8" s="1"/>
  <c r="J49" i="7"/>
  <c r="P49" i="7" s="1"/>
  <c r="I24" i="14"/>
  <c r="O24" i="14" s="1"/>
  <c r="I28" i="14"/>
  <c r="O28" i="14" s="1"/>
  <c r="I49" i="16"/>
  <c r="O49" i="16" s="1"/>
  <c r="I40" i="16"/>
  <c r="O40" i="16" s="1"/>
  <c r="I53" i="15"/>
  <c r="O53" i="15" s="1"/>
  <c r="J19" i="4"/>
  <c r="P19" i="4" s="1"/>
  <c r="J20" i="7"/>
  <c r="P20" i="7" s="1"/>
  <c r="J58" i="4"/>
  <c r="P58" i="4" s="1"/>
  <c r="J29" i="4"/>
  <c r="P29" i="4" s="1"/>
  <c r="J34" i="7"/>
  <c r="P34" i="7" s="1"/>
  <c r="J42" i="8"/>
  <c r="P42" i="8" s="1"/>
  <c r="J49" i="9"/>
  <c r="P49" i="9" s="1"/>
  <c r="J32" i="6"/>
  <c r="P32" i="6" s="1"/>
  <c r="J14" i="10"/>
  <c r="P14" i="10" s="1"/>
  <c r="J28" i="4"/>
  <c r="P28" i="4" s="1"/>
  <c r="J44" i="5"/>
  <c r="P44" i="5" s="1"/>
  <c r="J41" i="8"/>
  <c r="P41" i="8" s="1"/>
  <c r="J14" i="11"/>
  <c r="P14" i="11" s="1"/>
  <c r="J26" i="8"/>
  <c r="P26" i="8" s="1"/>
  <c r="I47" i="14"/>
  <c r="O47" i="14" s="1"/>
  <c r="I44" i="14"/>
  <c r="O44" i="14" s="1"/>
  <c r="I56" i="14"/>
  <c r="O56" i="14" s="1"/>
  <c r="I24" i="15"/>
  <c r="O24" i="15" s="1"/>
  <c r="I51" i="15"/>
  <c r="O51" i="15" s="1"/>
  <c r="I42" i="15"/>
  <c r="O42" i="15" s="1"/>
  <c r="I43" i="16"/>
  <c r="O43" i="16" s="1"/>
  <c r="J40" i="6"/>
  <c r="P40" i="6" s="1"/>
  <c r="J36" i="4"/>
  <c r="P36" i="4" s="1"/>
  <c r="J12" i="5"/>
  <c r="P12" i="5" s="1"/>
  <c r="J31" i="6"/>
  <c r="P31" i="6" s="1"/>
  <c r="J28" i="9"/>
  <c r="P28" i="9" s="1"/>
  <c r="J17" i="7"/>
  <c r="P17" i="7" s="1"/>
  <c r="J13" i="9"/>
  <c r="P13" i="9" s="1"/>
  <c r="J11" i="8"/>
  <c r="P11" i="8" s="1"/>
  <c r="J30" i="9"/>
  <c r="P30" i="9" s="1"/>
  <c r="J10" i="5"/>
  <c r="J47" i="4"/>
  <c r="P47" i="4" s="1"/>
  <c r="J42" i="4"/>
  <c r="P42" i="4" s="1"/>
  <c r="J35" i="6"/>
  <c r="P35" i="6" s="1"/>
  <c r="J13" i="7"/>
  <c r="P13" i="7" s="1"/>
  <c r="J19" i="8"/>
  <c r="P19" i="8" s="1"/>
  <c r="J15" i="10"/>
  <c r="P15" i="10" s="1"/>
  <c r="J10" i="9"/>
  <c r="P10" i="9" s="1"/>
  <c r="I60" i="12"/>
  <c r="I59" i="12" s="1"/>
  <c r="I10" i="13"/>
  <c r="O10" i="13" s="1"/>
  <c r="I23" i="13"/>
  <c r="O23" i="13" s="1"/>
  <c r="I55" i="13"/>
  <c r="O55" i="13" s="1"/>
  <c r="I56" i="13"/>
  <c r="O56" i="13" s="1"/>
  <c r="I14" i="15"/>
  <c r="O14" i="15" s="1"/>
  <c r="I60" i="14"/>
  <c r="I59" i="14" s="1"/>
  <c r="I48" i="16"/>
  <c r="O48" i="16" s="1"/>
  <c r="I22" i="14"/>
  <c r="O22" i="14" s="1"/>
  <c r="I21" i="15"/>
  <c r="O21" i="15" s="1"/>
  <c r="I16" i="15"/>
  <c r="O16" i="15" s="1"/>
  <c r="I10" i="15"/>
  <c r="O10" i="15" s="1"/>
  <c r="I38" i="14"/>
  <c r="O38" i="14" s="1"/>
  <c r="I58" i="15"/>
  <c r="O58" i="15" s="1"/>
  <c r="I26" i="16"/>
  <c r="O26" i="16" s="1"/>
  <c r="I43" i="15"/>
  <c r="O43" i="15" s="1"/>
  <c r="I12" i="16"/>
  <c r="O12" i="16" s="1"/>
  <c r="J15" i="5"/>
  <c r="P15" i="5" s="1"/>
  <c r="J56" i="4"/>
  <c r="P56" i="4" s="1"/>
  <c r="J21" i="6"/>
  <c r="P21" i="6" s="1"/>
  <c r="J16" i="4"/>
  <c r="P16" i="4" s="1"/>
  <c r="J34" i="4"/>
  <c r="J24" i="6"/>
  <c r="P24" i="6" s="1"/>
  <c r="J34" i="6"/>
  <c r="J41" i="7"/>
  <c r="P41" i="7" s="1"/>
  <c r="J22" i="8"/>
  <c r="P22" i="8" s="1"/>
  <c r="J22" i="9"/>
  <c r="P22" i="9" s="1"/>
  <c r="I42" i="13"/>
  <c r="O42" i="13" s="1"/>
  <c r="I20" i="13"/>
  <c r="O20" i="13" s="1"/>
  <c r="I16" i="13"/>
  <c r="O16" i="13" s="1"/>
  <c r="I44" i="13"/>
  <c r="O44" i="13" s="1"/>
  <c r="I57" i="13"/>
  <c r="O57" i="13" s="1"/>
  <c r="I11" i="14"/>
  <c r="O11" i="14" s="1"/>
  <c r="I29" i="15"/>
  <c r="O29" i="15" s="1"/>
  <c r="I19" i="15"/>
  <c r="O19" i="15" s="1"/>
  <c r="I52" i="16"/>
  <c r="O52" i="16" s="1"/>
  <c r="I43" i="14"/>
  <c r="O43" i="14" s="1"/>
  <c r="I30" i="15"/>
  <c r="O30" i="15" s="1"/>
  <c r="I17" i="15"/>
  <c r="O17" i="15" s="1"/>
  <c r="I23" i="15"/>
  <c r="O23" i="15" s="1"/>
  <c r="I57" i="14"/>
  <c r="O57" i="14" s="1"/>
  <c r="I28" i="16"/>
  <c r="O28" i="16" s="1"/>
  <c r="I30" i="16"/>
  <c r="O30" i="16" s="1"/>
  <c r="I46" i="15"/>
  <c r="O46" i="15" s="1"/>
  <c r="I19" i="16"/>
  <c r="O19" i="16" s="1"/>
  <c r="J30" i="4"/>
  <c r="P30" i="4" s="1"/>
  <c r="J57" i="4"/>
  <c r="P57" i="4" s="1"/>
  <c r="J17" i="5"/>
  <c r="P17" i="5" s="1"/>
  <c r="J16" i="5"/>
  <c r="P16" i="5" s="1"/>
  <c r="J38" i="4"/>
  <c r="P38" i="4" s="1"/>
  <c r="J26" i="6"/>
  <c r="P26" i="6" s="1"/>
  <c r="J38" i="6"/>
  <c r="P38" i="6" s="1"/>
  <c r="J57" i="7"/>
  <c r="P57" i="7" s="1"/>
  <c r="J46" i="11"/>
  <c r="P46" i="11" s="1"/>
  <c r="J24" i="10"/>
  <c r="P24" i="10" s="1"/>
  <c r="J44" i="9"/>
  <c r="P44" i="9" s="1"/>
  <c r="I11" i="16"/>
  <c r="O11" i="16" s="1"/>
  <c r="I54" i="15"/>
  <c r="O54" i="15" s="1"/>
  <c r="I56" i="16"/>
  <c r="O56" i="16" s="1"/>
  <c r="I44" i="16"/>
  <c r="O44" i="16" s="1"/>
  <c r="J22" i="5"/>
  <c r="P22" i="5" s="1"/>
  <c r="J21" i="4"/>
  <c r="P21" i="4" s="1"/>
  <c r="J28" i="5"/>
  <c r="P28" i="5" s="1"/>
  <c r="J40" i="4"/>
  <c r="P40" i="4" s="1"/>
  <c r="J22" i="4"/>
  <c r="P22" i="4" s="1"/>
  <c r="J11" i="5"/>
  <c r="P11" i="5" s="1"/>
  <c r="J13" i="5"/>
  <c r="P13" i="5" s="1"/>
  <c r="J53" i="4"/>
  <c r="P53" i="4" s="1"/>
  <c r="J54" i="4"/>
  <c r="P54" i="4" s="1"/>
  <c r="J30" i="10"/>
  <c r="P30" i="10" s="1"/>
  <c r="J60" i="8"/>
  <c r="P60" i="8" s="1"/>
  <c r="P59" i="8" s="1"/>
  <c r="J51" i="5"/>
  <c r="P51" i="5" s="1"/>
  <c r="J55" i="5"/>
  <c r="P55" i="5" s="1"/>
  <c r="J41" i="9"/>
  <c r="P41" i="9" s="1"/>
  <c r="J24" i="7"/>
  <c r="P24" i="7" s="1"/>
  <c r="J12" i="7"/>
  <c r="P12" i="7" s="1"/>
  <c r="J42" i="6"/>
  <c r="P42" i="6" s="1"/>
  <c r="J38" i="10"/>
  <c r="P38" i="10" s="1"/>
  <c r="J16" i="11"/>
  <c r="P16" i="11" s="1"/>
  <c r="I32" i="16"/>
  <c r="O32" i="16" s="1"/>
  <c r="I13" i="16"/>
  <c r="O13" i="16" s="1"/>
  <c r="I22" i="16"/>
  <c r="O22" i="16" s="1"/>
  <c r="I57" i="16"/>
  <c r="O57" i="16" s="1"/>
  <c r="J15" i="4"/>
  <c r="P15" i="4" s="1"/>
  <c r="J32" i="4"/>
  <c r="P32" i="4" s="1"/>
  <c r="J29" i="5"/>
  <c r="P29" i="5" s="1"/>
  <c r="J25" i="5"/>
  <c r="P25" i="5" s="1"/>
  <c r="J23" i="4"/>
  <c r="P23" i="4" s="1"/>
  <c r="J26" i="5"/>
  <c r="P26" i="5" s="1"/>
  <c r="J10" i="7"/>
  <c r="P10" i="7" s="1"/>
  <c r="J19" i="5"/>
  <c r="P19" i="5" s="1"/>
  <c r="J43" i="5"/>
  <c r="P43" i="5" s="1"/>
  <c r="J34" i="10"/>
  <c r="P34" i="10" s="1"/>
  <c r="J19" i="9"/>
  <c r="P19" i="9" s="1"/>
  <c r="J52" i="5"/>
  <c r="P52" i="5" s="1"/>
  <c r="J58" i="5"/>
  <c r="P58" i="5" s="1"/>
  <c r="J20" i="6"/>
  <c r="P20" i="6" s="1"/>
  <c r="J46" i="7"/>
  <c r="P46" i="7" s="1"/>
  <c r="J44" i="7"/>
  <c r="P44" i="7" s="1"/>
  <c r="J30" i="7"/>
  <c r="P30" i="7" s="1"/>
  <c r="J25" i="11"/>
  <c r="P25" i="11" s="1"/>
  <c r="J49" i="10"/>
  <c r="P49" i="10" s="1"/>
  <c r="I35" i="16"/>
  <c r="O35" i="16" s="1"/>
  <c r="I41" i="16"/>
  <c r="O41" i="16" s="1"/>
  <c r="I46" i="16"/>
  <c r="O46" i="16" s="1"/>
  <c r="I58" i="16"/>
  <c r="O58" i="16" s="1"/>
  <c r="J58" i="6"/>
  <c r="P58" i="6" s="1"/>
  <c r="J35" i="4"/>
  <c r="P35" i="4" s="1"/>
  <c r="J38" i="5"/>
  <c r="P38" i="5" s="1"/>
  <c r="J30" i="5"/>
  <c r="P30" i="5" s="1"/>
  <c r="J41" i="4"/>
  <c r="P41" i="4" s="1"/>
  <c r="J34" i="5"/>
  <c r="P34" i="5" s="1"/>
  <c r="J20" i="8"/>
  <c r="P20" i="8" s="1"/>
  <c r="J32" i="5"/>
  <c r="P32" i="5" s="1"/>
  <c r="J48" i="5"/>
  <c r="P48" i="5" s="1"/>
  <c r="J10" i="6"/>
  <c r="P10" i="6" s="1"/>
  <c r="J30" i="6"/>
  <c r="P30" i="6" s="1"/>
  <c r="J57" i="5"/>
  <c r="P57" i="5" s="1"/>
  <c r="J60" i="5"/>
  <c r="J59" i="5" s="1"/>
  <c r="J28" i="6"/>
  <c r="J51" i="7"/>
  <c r="P51" i="7" s="1"/>
  <c r="J54" i="7"/>
  <c r="P54" i="7" s="1"/>
  <c r="J17" i="10"/>
  <c r="P17" i="10" s="1"/>
  <c r="J56" i="9"/>
  <c r="P56" i="9" s="1"/>
  <c r="J60" i="11"/>
  <c r="P60" i="11" s="1"/>
  <c r="P59" i="11" s="1"/>
  <c r="I36" i="16"/>
  <c r="O36" i="16" s="1"/>
  <c r="I42" i="16"/>
  <c r="O42" i="16" s="1"/>
  <c r="I47" i="16"/>
  <c r="O47" i="16" s="1"/>
  <c r="J20" i="4"/>
  <c r="P20" i="4" s="1"/>
  <c r="J39" i="4"/>
  <c r="P39" i="4" s="1"/>
  <c r="J49" i="5"/>
  <c r="P49" i="5" s="1"/>
  <c r="J39" i="5"/>
  <c r="P39" i="5" s="1"/>
  <c r="J46" i="4"/>
  <c r="P46" i="4" s="1"/>
  <c r="J16" i="7"/>
  <c r="P16" i="7" s="1"/>
  <c r="J31" i="4"/>
  <c r="P31" i="4" s="1"/>
  <c r="J35" i="5"/>
  <c r="P35" i="5" s="1"/>
  <c r="J47" i="6"/>
  <c r="P47" i="6" s="1"/>
  <c r="J23" i="6"/>
  <c r="P23" i="6" s="1"/>
  <c r="J49" i="6"/>
  <c r="P49" i="6" s="1"/>
  <c r="J11" i="6"/>
  <c r="P11" i="6" s="1"/>
  <c r="J12" i="6"/>
  <c r="P12" i="6" s="1"/>
  <c r="J35" i="7"/>
  <c r="P35" i="7" s="1"/>
  <c r="J10" i="8"/>
  <c r="P10" i="8" s="1"/>
  <c r="J15" i="8"/>
  <c r="P15" i="8" s="1"/>
  <c r="J26" i="10"/>
  <c r="P26" i="10" s="1"/>
  <c r="J22" i="10"/>
  <c r="P22" i="10" s="1"/>
  <c r="J32" i="12"/>
  <c r="P32" i="12" s="1"/>
  <c r="J41" i="5"/>
  <c r="P41" i="5" s="1"/>
  <c r="J24" i="5"/>
  <c r="P24" i="5" s="1"/>
  <c r="J11" i="4"/>
  <c r="P11" i="4" s="1"/>
  <c r="J48" i="4"/>
  <c r="P48" i="4" s="1"/>
  <c r="J47" i="5"/>
  <c r="P47" i="5" s="1"/>
  <c r="J31" i="5"/>
  <c r="P31" i="5" s="1"/>
  <c r="J43" i="4"/>
  <c r="P43" i="4" s="1"/>
  <c r="J36" i="5"/>
  <c r="P36" i="5" s="1"/>
  <c r="J20" i="5"/>
  <c r="P20" i="5" s="1"/>
  <c r="J46" i="6"/>
  <c r="P46" i="6" s="1"/>
  <c r="J14" i="6"/>
  <c r="P14" i="6" s="1"/>
  <c r="J40" i="8"/>
  <c r="P40" i="8" s="1"/>
  <c r="J23" i="7"/>
  <c r="P23" i="7" s="1"/>
  <c r="J53" i="5"/>
  <c r="P53" i="5" s="1"/>
  <c r="J29" i="9"/>
  <c r="P29" i="9" s="1"/>
  <c r="J19" i="6"/>
  <c r="P19" i="6" s="1"/>
  <c r="J46" i="5"/>
  <c r="P46" i="5" s="1"/>
  <c r="J17" i="8"/>
  <c r="P17" i="8" s="1"/>
  <c r="J52" i="7"/>
  <c r="P52" i="7" s="1"/>
  <c r="J39" i="6"/>
  <c r="P39" i="6" s="1"/>
  <c r="J26" i="9"/>
  <c r="P26" i="9" s="1"/>
  <c r="J40" i="7"/>
  <c r="P40" i="7" s="1"/>
  <c r="J60" i="10"/>
  <c r="J59" i="10" s="1"/>
  <c r="J58" i="10"/>
  <c r="P58" i="10" s="1"/>
  <c r="J32" i="8"/>
  <c r="P32" i="8" s="1"/>
  <c r="J40" i="12"/>
  <c r="P40" i="12" s="1"/>
  <c r="J44" i="4"/>
  <c r="P44" i="4" s="1"/>
  <c r="J43" i="6"/>
  <c r="P43" i="6" s="1"/>
  <c r="J21" i="5"/>
  <c r="P21" i="5" s="1"/>
  <c r="J53" i="6"/>
  <c r="P53" i="6" s="1"/>
  <c r="J22" i="6"/>
  <c r="P22" i="6" s="1"/>
  <c r="J49" i="8"/>
  <c r="P49" i="8" s="1"/>
  <c r="J32" i="7"/>
  <c r="P32" i="7" s="1"/>
  <c r="J54" i="5"/>
  <c r="P54" i="5" s="1"/>
  <c r="J11" i="10"/>
  <c r="P11" i="10" s="1"/>
  <c r="J29" i="6"/>
  <c r="P29" i="6" s="1"/>
  <c r="J17" i="6"/>
  <c r="P17" i="6" s="1"/>
  <c r="J43" i="8"/>
  <c r="P43" i="8" s="1"/>
  <c r="J55" i="7"/>
  <c r="P55" i="7" s="1"/>
  <c r="J48" i="6"/>
  <c r="P48" i="6" s="1"/>
  <c r="J32" i="10"/>
  <c r="P32" i="10" s="1"/>
  <c r="J16" i="9"/>
  <c r="P16" i="9" s="1"/>
  <c r="J23" i="11"/>
  <c r="P23" i="11" s="1"/>
  <c r="J54" i="8"/>
  <c r="P54" i="8" s="1"/>
  <c r="J58" i="8"/>
  <c r="P58" i="8" s="1"/>
  <c r="J30" i="13"/>
  <c r="P30" i="13" s="1"/>
  <c r="J51" i="11"/>
  <c r="P51" i="11" s="1"/>
  <c r="J32" i="13"/>
  <c r="P32" i="13" s="1"/>
  <c r="J52" i="13"/>
  <c r="P52" i="13" s="1"/>
  <c r="J39" i="7"/>
  <c r="P39" i="7" s="1"/>
  <c r="J40" i="5"/>
  <c r="P40" i="5" s="1"/>
  <c r="J24" i="4"/>
  <c r="P24" i="4" s="1"/>
  <c r="J60" i="4"/>
  <c r="P60" i="4" s="1"/>
  <c r="P59" i="4" s="1"/>
  <c r="J13" i="6"/>
  <c r="P13" i="6" s="1"/>
  <c r="J15" i="6"/>
  <c r="P15" i="6" s="1"/>
  <c r="J14" i="5"/>
  <c r="P14" i="5" s="1"/>
  <c r="J14" i="4"/>
  <c r="P14" i="4" s="1"/>
  <c r="J44" i="6"/>
  <c r="P44" i="6" s="1"/>
  <c r="J58" i="7"/>
  <c r="P58" i="7" s="1"/>
  <c r="J25" i="6"/>
  <c r="P25" i="6" s="1"/>
  <c r="J20" i="10"/>
  <c r="P20" i="10" s="1"/>
  <c r="J20" i="9"/>
  <c r="P20" i="9" s="1"/>
  <c r="J16" i="6"/>
  <c r="P16" i="6" s="1"/>
  <c r="J56" i="5"/>
  <c r="P56" i="5" s="1"/>
  <c r="J43" i="7"/>
  <c r="P43" i="7" s="1"/>
  <c r="J51" i="6"/>
  <c r="P51" i="6" s="1"/>
  <c r="J19" i="7"/>
  <c r="P19" i="7" s="1"/>
  <c r="J14" i="8"/>
  <c r="P14" i="8" s="1"/>
  <c r="J47" i="7"/>
  <c r="P47" i="7" s="1"/>
  <c r="J21" i="9"/>
  <c r="P21" i="9" s="1"/>
  <c r="J56" i="6"/>
  <c r="P56" i="6" s="1"/>
  <c r="J39" i="10"/>
  <c r="P39" i="10" s="1"/>
  <c r="J31" i="8"/>
  <c r="P31" i="8" s="1"/>
  <c r="J15" i="12"/>
  <c r="P15" i="12" s="1"/>
  <c r="J58" i="13"/>
  <c r="P58" i="13" s="1"/>
  <c r="J56" i="13"/>
  <c r="P56" i="13" s="1"/>
  <c r="J36" i="8"/>
  <c r="P36" i="8" s="1"/>
  <c r="J52" i="6"/>
  <c r="P52" i="6" s="1"/>
  <c r="J48" i="7"/>
  <c r="P48" i="7" s="1"/>
  <c r="J25" i="8"/>
  <c r="P25" i="8" s="1"/>
  <c r="J41" i="6"/>
  <c r="P41" i="6" s="1"/>
  <c r="J12" i="10"/>
  <c r="P12" i="10" s="1"/>
  <c r="J21" i="8"/>
  <c r="P21" i="8" s="1"/>
  <c r="J54" i="10"/>
  <c r="P54" i="10" s="1"/>
  <c r="J32" i="9"/>
  <c r="P32" i="9" s="1"/>
  <c r="J38" i="12"/>
  <c r="P38" i="12" s="1"/>
  <c r="J52" i="10"/>
  <c r="P52" i="10" s="1"/>
  <c r="J23" i="10"/>
  <c r="P23" i="10" s="1"/>
  <c r="J35" i="9"/>
  <c r="P35" i="9" s="1"/>
  <c r="J23" i="9"/>
  <c r="P23" i="9" s="1"/>
  <c r="J39" i="8"/>
  <c r="P39" i="8" s="1"/>
  <c r="J53" i="10"/>
  <c r="P53" i="10" s="1"/>
  <c r="J35" i="11"/>
  <c r="P35" i="11" s="1"/>
  <c r="J24" i="15"/>
  <c r="P24" i="15" s="1"/>
  <c r="J26" i="14"/>
  <c r="P26" i="14" s="1"/>
  <c r="J51" i="8"/>
  <c r="P51" i="8" s="1"/>
  <c r="J11" i="7"/>
  <c r="P11" i="7" s="1"/>
  <c r="J53" i="7"/>
  <c r="P53" i="7" s="1"/>
  <c r="J12" i="9"/>
  <c r="P12" i="9" s="1"/>
  <c r="J54" i="6"/>
  <c r="P54" i="6" s="1"/>
  <c r="J48" i="10"/>
  <c r="P48" i="10" s="1"/>
  <c r="J24" i="8"/>
  <c r="P24" i="8" s="1"/>
  <c r="J57" i="10"/>
  <c r="P57" i="10" s="1"/>
  <c r="J54" i="9"/>
  <c r="P54" i="9" s="1"/>
  <c r="J14" i="9"/>
  <c r="P14" i="9" s="1"/>
  <c r="J13" i="11"/>
  <c r="P13" i="11" s="1"/>
  <c r="J40" i="10"/>
  <c r="P40" i="10" s="1"/>
  <c r="J43" i="9"/>
  <c r="P43" i="9" s="1"/>
  <c r="J36" i="9"/>
  <c r="P36" i="9" s="1"/>
  <c r="J46" i="8"/>
  <c r="P46" i="8" s="1"/>
  <c r="J12" i="11"/>
  <c r="P12" i="11" s="1"/>
  <c r="J55" i="11"/>
  <c r="P55" i="11" s="1"/>
  <c r="J44" i="15"/>
  <c r="P44" i="15" s="1"/>
  <c r="J17" i="16"/>
  <c r="P17" i="16" s="1"/>
  <c r="J30" i="14"/>
  <c r="P30" i="14" s="1"/>
  <c r="J47" i="10"/>
  <c r="P47" i="10" s="1"/>
  <c r="J25" i="7"/>
  <c r="P25" i="7" s="1"/>
  <c r="J56" i="7"/>
  <c r="P56" i="7" s="1"/>
  <c r="J31" i="9"/>
  <c r="P31" i="9" s="1"/>
  <c r="J60" i="7"/>
  <c r="P60" i="7" s="1"/>
  <c r="P59" i="7" s="1"/>
  <c r="J55" i="6"/>
  <c r="P55" i="6" s="1"/>
  <c r="J38" i="9"/>
  <c r="P38" i="9" s="1"/>
  <c r="J60" i="6"/>
  <c r="J59" i="6" s="1"/>
  <c r="J31" i="10"/>
  <c r="P31" i="10" s="1"/>
  <c r="J55" i="9"/>
  <c r="P55" i="9" s="1"/>
  <c r="J13" i="12"/>
  <c r="P13" i="12" s="1"/>
  <c r="J36" i="11"/>
  <c r="P36" i="11" s="1"/>
  <c r="J17" i="11"/>
  <c r="P17" i="11" s="1"/>
  <c r="J16" i="10"/>
  <c r="P16" i="10" s="1"/>
  <c r="J48" i="9"/>
  <c r="P48" i="9" s="1"/>
  <c r="J38" i="14"/>
  <c r="P38" i="14" s="1"/>
  <c r="J35" i="12"/>
  <c r="P35" i="12" s="1"/>
  <c r="J58" i="12"/>
  <c r="P58" i="12" s="1"/>
  <c r="J32" i="14"/>
  <c r="P32" i="14" s="1"/>
  <c r="J11" i="11"/>
  <c r="P11" i="11" s="1"/>
  <c r="J28" i="7"/>
  <c r="J12" i="8"/>
  <c r="P12" i="8" s="1"/>
  <c r="J46" i="9"/>
  <c r="P46" i="9" s="1"/>
  <c r="J44" i="8"/>
  <c r="P44" i="8" s="1"/>
  <c r="J14" i="7"/>
  <c r="P14" i="7" s="1"/>
  <c r="J60" i="9"/>
  <c r="P60" i="9" s="1"/>
  <c r="P59" i="9" s="1"/>
  <c r="J15" i="7"/>
  <c r="P15" i="7" s="1"/>
  <c r="J35" i="10"/>
  <c r="P35" i="10" s="1"/>
  <c r="J21" i="10"/>
  <c r="P21" i="10" s="1"/>
  <c r="J34" i="9"/>
  <c r="P34" i="9" s="1"/>
  <c r="J22" i="12"/>
  <c r="P22" i="12" s="1"/>
  <c r="J43" i="12"/>
  <c r="P43" i="12" s="1"/>
  <c r="J42" i="10"/>
  <c r="P42" i="10" s="1"/>
  <c r="J25" i="10"/>
  <c r="P25" i="10" s="1"/>
  <c r="J56" i="10"/>
  <c r="P56" i="10" s="1"/>
  <c r="J12" i="13"/>
  <c r="P12" i="13" s="1"/>
  <c r="J20" i="13"/>
  <c r="P20" i="13" s="1"/>
  <c r="J51" i="14"/>
  <c r="P51" i="14" s="1"/>
  <c r="J12" i="12"/>
  <c r="P12" i="12" s="1"/>
  <c r="J36" i="7"/>
  <c r="P36" i="7" s="1"/>
  <c r="J13" i="8"/>
  <c r="P13" i="8" s="1"/>
  <c r="J53" i="9"/>
  <c r="P53" i="9" s="1"/>
  <c r="J48" i="8"/>
  <c r="P48" i="8" s="1"/>
  <c r="J22" i="7"/>
  <c r="P22" i="7" s="1"/>
  <c r="J10" i="10"/>
  <c r="P10" i="10" s="1"/>
  <c r="J31" i="7"/>
  <c r="P31" i="7" s="1"/>
  <c r="J46" i="10"/>
  <c r="P46" i="10" s="1"/>
  <c r="J36" i="10"/>
  <c r="P36" i="10" s="1"/>
  <c r="J42" i="9"/>
  <c r="P42" i="9" s="1"/>
  <c r="J52" i="8"/>
  <c r="P52" i="8" s="1"/>
  <c r="J28" i="8"/>
  <c r="P28" i="8" s="1"/>
  <c r="J43" i="10"/>
  <c r="P43" i="10" s="1"/>
  <c r="J29" i="10"/>
  <c r="P29" i="10" s="1"/>
  <c r="J22" i="11"/>
  <c r="P22" i="11" s="1"/>
  <c r="J14" i="13"/>
  <c r="P14" i="13" s="1"/>
  <c r="J21" i="13"/>
  <c r="P21" i="13" s="1"/>
  <c r="J20" i="15"/>
  <c r="P20" i="15" s="1"/>
  <c r="J13" i="10"/>
  <c r="P13" i="10" s="1"/>
  <c r="J30" i="8"/>
  <c r="P30" i="8" s="1"/>
  <c r="J57" i="9"/>
  <c r="P57" i="9" s="1"/>
  <c r="J29" i="8"/>
  <c r="P29" i="8" s="1"/>
  <c r="J39" i="9"/>
  <c r="P39" i="9" s="1"/>
  <c r="J55" i="10"/>
  <c r="P55" i="10" s="1"/>
  <c r="J47" i="8"/>
  <c r="P47" i="8" s="1"/>
  <c r="J48" i="11"/>
  <c r="P48" i="11" s="1"/>
  <c r="J53" i="11"/>
  <c r="P53" i="11" s="1"/>
  <c r="J31" i="11"/>
  <c r="P31" i="11" s="1"/>
  <c r="J23" i="12"/>
  <c r="P23" i="12" s="1"/>
  <c r="J26" i="13"/>
  <c r="P26" i="13" s="1"/>
  <c r="J31" i="13"/>
  <c r="P31" i="13" s="1"/>
  <c r="J17" i="14"/>
  <c r="P17" i="14" s="1"/>
  <c r="J58" i="16"/>
  <c r="P58" i="16" s="1"/>
  <c r="J49" i="14"/>
  <c r="P49" i="14" s="1"/>
  <c r="J16" i="15"/>
  <c r="P16" i="15" s="1"/>
  <c r="J53" i="8"/>
  <c r="P53" i="8" s="1"/>
  <c r="J28" i="10"/>
  <c r="P28" i="10" s="1"/>
  <c r="J34" i="8"/>
  <c r="J47" i="9"/>
  <c r="P47" i="9" s="1"/>
  <c r="J19" i="11"/>
  <c r="P19" i="11" s="1"/>
  <c r="J11" i="9"/>
  <c r="P11" i="9" s="1"/>
  <c r="J28" i="12"/>
  <c r="J41" i="12"/>
  <c r="P41" i="12" s="1"/>
  <c r="J39" i="11"/>
  <c r="P39" i="11" s="1"/>
  <c r="J39" i="13"/>
  <c r="P39" i="13" s="1"/>
  <c r="J49" i="12"/>
  <c r="P49" i="12" s="1"/>
  <c r="J41" i="13"/>
  <c r="P41" i="13" s="1"/>
  <c r="J16" i="14"/>
  <c r="P16" i="14" s="1"/>
  <c r="J60" i="14"/>
  <c r="J59" i="14" s="1"/>
  <c r="J60" i="16"/>
  <c r="J59" i="16" s="1"/>
  <c r="J41" i="10"/>
  <c r="P41" i="10" s="1"/>
  <c r="J38" i="8"/>
  <c r="P38" i="8" s="1"/>
  <c r="J51" i="9"/>
  <c r="P51" i="9" s="1"/>
  <c r="J24" i="11"/>
  <c r="P24" i="11" s="1"/>
  <c r="J25" i="9"/>
  <c r="P25" i="9" s="1"/>
  <c r="J25" i="12"/>
  <c r="P25" i="12" s="1"/>
  <c r="J12" i="14"/>
  <c r="P12" i="14" s="1"/>
  <c r="J44" i="11"/>
  <c r="P44" i="11" s="1"/>
  <c r="J54" i="11"/>
  <c r="P54" i="11" s="1"/>
  <c r="J25" i="14"/>
  <c r="P25" i="14" s="1"/>
  <c r="J57" i="14"/>
  <c r="P57" i="14" s="1"/>
  <c r="J54" i="13"/>
  <c r="P54" i="13" s="1"/>
  <c r="J19" i="15"/>
  <c r="P19" i="15" s="1"/>
  <c r="J55" i="15"/>
  <c r="P55" i="15" s="1"/>
  <c r="J51" i="10"/>
  <c r="P51" i="10" s="1"/>
  <c r="J17" i="9"/>
  <c r="P17" i="9" s="1"/>
  <c r="J10" i="11"/>
  <c r="P10" i="11" s="1"/>
  <c r="J55" i="8"/>
  <c r="P55" i="8" s="1"/>
  <c r="J52" i="9"/>
  <c r="P52" i="9" s="1"/>
  <c r="J19" i="12"/>
  <c r="P19" i="12" s="1"/>
  <c r="J40" i="9"/>
  <c r="P40" i="9" s="1"/>
  <c r="J31" i="12"/>
  <c r="P31" i="12" s="1"/>
  <c r="J20" i="11"/>
  <c r="P20" i="11" s="1"/>
  <c r="J55" i="12"/>
  <c r="P55" i="12" s="1"/>
  <c r="J46" i="12"/>
  <c r="P46" i="12" s="1"/>
  <c r="J19" i="13"/>
  <c r="P19" i="13" s="1"/>
  <c r="J25" i="15"/>
  <c r="P25" i="15" s="1"/>
  <c r="J19" i="14"/>
  <c r="P19" i="14" s="1"/>
  <c r="J31" i="14"/>
  <c r="P31" i="14" s="1"/>
  <c r="J51" i="15"/>
  <c r="P51" i="15" s="1"/>
  <c r="J47" i="11"/>
  <c r="P47" i="11" s="1"/>
  <c r="J56" i="8"/>
  <c r="P56" i="8" s="1"/>
  <c r="J58" i="9"/>
  <c r="P58" i="9" s="1"/>
  <c r="J28" i="11"/>
  <c r="P28" i="11" s="1"/>
  <c r="J26" i="11"/>
  <c r="P26" i="11" s="1"/>
  <c r="J38" i="11"/>
  <c r="P38" i="11" s="1"/>
  <c r="J20" i="12"/>
  <c r="P20" i="12" s="1"/>
  <c r="J40" i="11"/>
  <c r="P40" i="11" s="1"/>
  <c r="J26" i="12"/>
  <c r="P26" i="12" s="1"/>
  <c r="J57" i="11"/>
  <c r="P57" i="11" s="1"/>
  <c r="J34" i="13"/>
  <c r="P34" i="13" s="1"/>
  <c r="J42" i="13"/>
  <c r="P42" i="13" s="1"/>
  <c r="J22" i="13"/>
  <c r="P22" i="13" s="1"/>
  <c r="J53" i="12"/>
  <c r="P53" i="12" s="1"/>
  <c r="J14" i="15"/>
  <c r="P14" i="15" s="1"/>
  <c r="J15" i="15"/>
  <c r="P15" i="15" s="1"/>
  <c r="J24" i="14"/>
  <c r="P24" i="14" s="1"/>
  <c r="J16" i="12"/>
  <c r="P16" i="12" s="1"/>
  <c r="J57" i="8"/>
  <c r="P57" i="8" s="1"/>
  <c r="J19" i="10"/>
  <c r="P19" i="10" s="1"/>
  <c r="J29" i="11"/>
  <c r="P29" i="11" s="1"/>
  <c r="J30" i="11"/>
  <c r="P30" i="11" s="1"/>
  <c r="J11" i="12"/>
  <c r="P11" i="12" s="1"/>
  <c r="J32" i="11"/>
  <c r="P32" i="11" s="1"/>
  <c r="J43" i="11"/>
  <c r="P43" i="11" s="1"/>
  <c r="J34" i="12"/>
  <c r="P34" i="12" s="1"/>
  <c r="J10" i="12"/>
  <c r="P10" i="12" s="1"/>
  <c r="J40" i="13"/>
  <c r="P40" i="13" s="1"/>
  <c r="J20" i="14"/>
  <c r="P20" i="14" s="1"/>
  <c r="J51" i="13"/>
  <c r="P51" i="13" s="1"/>
  <c r="J57" i="13"/>
  <c r="P57" i="13" s="1"/>
  <c r="J29" i="15"/>
  <c r="P29" i="15" s="1"/>
  <c r="J47" i="14"/>
  <c r="P47" i="14" s="1"/>
  <c r="J56" i="14"/>
  <c r="P56" i="14" s="1"/>
  <c r="J54" i="14"/>
  <c r="P54" i="14" s="1"/>
  <c r="J49" i="15"/>
  <c r="P49" i="15" s="1"/>
  <c r="J35" i="8"/>
  <c r="P35" i="8" s="1"/>
  <c r="J24" i="9"/>
  <c r="P24" i="9" s="1"/>
  <c r="J44" i="10"/>
  <c r="P44" i="10" s="1"/>
  <c r="J28" i="13"/>
  <c r="P28" i="13" s="1"/>
  <c r="J21" i="12"/>
  <c r="P21" i="12" s="1"/>
  <c r="J21" i="11"/>
  <c r="P21" i="11" s="1"/>
  <c r="J42" i="12"/>
  <c r="P42" i="12" s="1"/>
  <c r="J29" i="12"/>
  <c r="P29" i="12" s="1"/>
  <c r="J39" i="12"/>
  <c r="P39" i="12" s="1"/>
  <c r="J56" i="12"/>
  <c r="P56" i="12" s="1"/>
  <c r="J15" i="13"/>
  <c r="P15" i="13" s="1"/>
  <c r="J57" i="12"/>
  <c r="P57" i="12" s="1"/>
  <c r="J15" i="14"/>
  <c r="P15" i="14" s="1"/>
  <c r="J35" i="15"/>
  <c r="P35" i="15" s="1"/>
  <c r="J28" i="15"/>
  <c r="P28" i="15" s="1"/>
  <c r="J48" i="14"/>
  <c r="P48" i="14" s="1"/>
  <c r="J53" i="16"/>
  <c r="P53" i="16" s="1"/>
  <c r="J24" i="12"/>
  <c r="P24" i="12" s="1"/>
  <c r="J34" i="11"/>
  <c r="P34" i="11" s="1"/>
  <c r="J52" i="11"/>
  <c r="P52" i="11" s="1"/>
  <c r="J41" i="11"/>
  <c r="P41" i="11" s="1"/>
  <c r="J44" i="12"/>
  <c r="P44" i="12" s="1"/>
  <c r="J47" i="12"/>
  <c r="P47" i="12" s="1"/>
  <c r="J11" i="14"/>
  <c r="P11" i="14" s="1"/>
  <c r="J11" i="15"/>
  <c r="P11" i="15" s="1"/>
  <c r="J60" i="13"/>
  <c r="J59" i="13" s="1"/>
  <c r="J35" i="13"/>
  <c r="P35" i="13" s="1"/>
  <c r="J57" i="16"/>
  <c r="P57" i="16" s="1"/>
  <c r="J43" i="13"/>
  <c r="P43" i="13" s="1"/>
  <c r="J52" i="12"/>
  <c r="P52" i="12" s="1"/>
  <c r="J10" i="14"/>
  <c r="P10" i="14" s="1"/>
  <c r="J58" i="14"/>
  <c r="P58" i="14" s="1"/>
  <c r="J31" i="15"/>
  <c r="P31" i="15" s="1"/>
  <c r="J52" i="14"/>
  <c r="P52" i="14" s="1"/>
  <c r="J17" i="15"/>
  <c r="P17" i="15" s="1"/>
  <c r="J36" i="15"/>
  <c r="P36" i="15" s="1"/>
  <c r="J40" i="16"/>
  <c r="P40" i="16" s="1"/>
  <c r="J54" i="12"/>
  <c r="P54" i="12" s="1"/>
  <c r="J49" i="11"/>
  <c r="P49" i="11" s="1"/>
  <c r="J17" i="12"/>
  <c r="P17" i="12" s="1"/>
  <c r="J42" i="11"/>
  <c r="P42" i="11" s="1"/>
  <c r="J25" i="13"/>
  <c r="P25" i="13" s="1"/>
  <c r="J21" i="14"/>
  <c r="P21" i="14" s="1"/>
  <c r="J56" i="11"/>
  <c r="P56" i="11" s="1"/>
  <c r="J38" i="13"/>
  <c r="P38" i="13" s="1"/>
  <c r="J13" i="14"/>
  <c r="P13" i="14" s="1"/>
  <c r="J36" i="13"/>
  <c r="P36" i="13" s="1"/>
  <c r="J51" i="12"/>
  <c r="P51" i="12" s="1"/>
  <c r="J46" i="13"/>
  <c r="P46" i="13" s="1"/>
  <c r="J53" i="13"/>
  <c r="P53" i="13" s="1"/>
  <c r="J28" i="14"/>
  <c r="P28" i="14" s="1"/>
  <c r="J13" i="15"/>
  <c r="P13" i="15" s="1"/>
  <c r="J34" i="15"/>
  <c r="P34" i="15" s="1"/>
  <c r="J53" i="14"/>
  <c r="P53" i="14" s="1"/>
  <c r="J57" i="15"/>
  <c r="P57" i="15" s="1"/>
  <c r="J39" i="15"/>
  <c r="P39" i="15" s="1"/>
  <c r="J52" i="15"/>
  <c r="P52" i="15" s="1"/>
  <c r="J24" i="16"/>
  <c r="P24" i="16" s="1"/>
  <c r="J11" i="16"/>
  <c r="P11" i="16" s="1"/>
  <c r="J52" i="16"/>
  <c r="P52" i="16" s="1"/>
  <c r="J32" i="16"/>
  <c r="P32" i="16" s="1"/>
  <c r="J15" i="11"/>
  <c r="P15" i="11" s="1"/>
  <c r="J30" i="12"/>
  <c r="P30" i="12" s="1"/>
  <c r="J13" i="13"/>
  <c r="P13" i="13" s="1"/>
  <c r="J58" i="11"/>
  <c r="P58" i="11" s="1"/>
  <c r="J14" i="12"/>
  <c r="P14" i="12" s="1"/>
  <c r="J48" i="12"/>
  <c r="P48" i="12" s="1"/>
  <c r="J36" i="12"/>
  <c r="P36" i="12" s="1"/>
  <c r="J29" i="13"/>
  <c r="P29" i="13" s="1"/>
  <c r="J21" i="16"/>
  <c r="P21" i="16" s="1"/>
  <c r="J14" i="14"/>
  <c r="P14" i="14" s="1"/>
  <c r="J60" i="12"/>
  <c r="J59" i="12" s="1"/>
  <c r="J48" i="13"/>
  <c r="P48" i="13" s="1"/>
  <c r="J22" i="14"/>
  <c r="P22" i="14" s="1"/>
  <c r="J48" i="15"/>
  <c r="P48" i="15" s="1"/>
  <c r="J54" i="15"/>
  <c r="P54" i="15" s="1"/>
  <c r="J42" i="14"/>
  <c r="P42" i="14" s="1"/>
  <c r="J44" i="14"/>
  <c r="P44" i="14" s="1"/>
  <c r="J55" i="14"/>
  <c r="P55" i="14" s="1"/>
  <c r="J41" i="15"/>
  <c r="P41" i="15" s="1"/>
  <c r="J20" i="16"/>
  <c r="P20" i="16" s="1"/>
  <c r="J49" i="16"/>
  <c r="P49" i="16" s="1"/>
  <c r="J22" i="16"/>
  <c r="P22" i="16" s="1"/>
  <c r="J16" i="13"/>
  <c r="P16" i="13" s="1"/>
  <c r="J23" i="13"/>
  <c r="P23" i="13" s="1"/>
  <c r="J11" i="13"/>
  <c r="P11" i="13" s="1"/>
  <c r="J29" i="14"/>
  <c r="P29" i="14" s="1"/>
  <c r="J39" i="14"/>
  <c r="P39" i="14" s="1"/>
  <c r="J23" i="16"/>
  <c r="P23" i="16" s="1"/>
  <c r="J38" i="15"/>
  <c r="P38" i="15" s="1"/>
  <c r="J12" i="16"/>
  <c r="P12" i="16" s="1"/>
  <c r="J21" i="15"/>
  <c r="P21" i="15" s="1"/>
  <c r="J22" i="15"/>
  <c r="P22" i="15" s="1"/>
  <c r="J10" i="15"/>
  <c r="P10" i="15" s="1"/>
  <c r="J25" i="16"/>
  <c r="P25" i="16" s="1"/>
  <c r="J10" i="16"/>
  <c r="P10" i="16" s="1"/>
  <c r="J36" i="16"/>
  <c r="P36" i="16" s="1"/>
  <c r="J17" i="13"/>
  <c r="P17" i="13" s="1"/>
  <c r="J44" i="13"/>
  <c r="P44" i="13" s="1"/>
  <c r="J24" i="13"/>
  <c r="P24" i="13" s="1"/>
  <c r="J34" i="14"/>
  <c r="P34" i="14" s="1"/>
  <c r="J40" i="14"/>
  <c r="P40" i="14" s="1"/>
  <c r="J35" i="14"/>
  <c r="P35" i="14" s="1"/>
  <c r="J56" i="15"/>
  <c r="P56" i="15" s="1"/>
  <c r="J43" i="14"/>
  <c r="P43" i="14" s="1"/>
  <c r="J30" i="15"/>
  <c r="P30" i="15" s="1"/>
  <c r="J26" i="15"/>
  <c r="P26" i="15" s="1"/>
  <c r="J23" i="15"/>
  <c r="P23" i="15" s="1"/>
  <c r="J29" i="16"/>
  <c r="P29" i="16" s="1"/>
  <c r="J34" i="16"/>
  <c r="P34" i="16" s="1"/>
  <c r="J42" i="16"/>
  <c r="P42" i="16" s="1"/>
  <c r="J47" i="13"/>
  <c r="P47" i="13" s="1"/>
  <c r="J49" i="13"/>
  <c r="P49" i="13" s="1"/>
  <c r="J55" i="13"/>
  <c r="P55" i="13" s="1"/>
  <c r="J12" i="15"/>
  <c r="P12" i="15" s="1"/>
  <c r="J41" i="14"/>
  <c r="P41" i="14" s="1"/>
  <c r="J36" i="14"/>
  <c r="P36" i="14" s="1"/>
  <c r="J44" i="16"/>
  <c r="P44" i="16" s="1"/>
  <c r="J46" i="14"/>
  <c r="J23" i="14"/>
  <c r="P23" i="14" s="1"/>
  <c r="J53" i="15"/>
  <c r="P53" i="15" s="1"/>
  <c r="J32" i="15"/>
  <c r="P32" i="15" s="1"/>
  <c r="J48" i="16"/>
  <c r="P48" i="16" s="1"/>
  <c r="J39" i="16"/>
  <c r="P39" i="16" s="1"/>
  <c r="J19" i="16"/>
  <c r="P19" i="16" s="1"/>
  <c r="J42" i="15"/>
  <c r="P42" i="15" s="1"/>
  <c r="J56" i="16"/>
  <c r="P56" i="16" s="1"/>
  <c r="J40" i="15"/>
  <c r="P40" i="15" s="1"/>
  <c r="J60" i="15"/>
  <c r="J59" i="15" s="1"/>
  <c r="J54" i="16"/>
  <c r="P54" i="16" s="1"/>
  <c r="J35" i="16"/>
  <c r="P35" i="16" s="1"/>
  <c r="J43" i="16"/>
  <c r="P43" i="16" s="1"/>
  <c r="J58" i="15"/>
  <c r="P58" i="15" s="1"/>
  <c r="J26" i="16"/>
  <c r="P26" i="16" s="1"/>
  <c r="J43" i="15"/>
  <c r="P43" i="15" s="1"/>
  <c r="J55" i="16"/>
  <c r="P55" i="16" s="1"/>
  <c r="J14" i="16"/>
  <c r="P14" i="16" s="1"/>
  <c r="J28" i="16"/>
  <c r="P28" i="16" s="1"/>
  <c r="J30" i="16"/>
  <c r="P30" i="16" s="1"/>
  <c r="J46" i="15"/>
  <c r="P46" i="15" s="1"/>
  <c r="J13" i="16"/>
  <c r="P13" i="16" s="1"/>
  <c r="J15" i="16"/>
  <c r="P15" i="16" s="1"/>
  <c r="J38" i="16"/>
  <c r="P38" i="16" s="1"/>
  <c r="J31" i="16"/>
  <c r="P31" i="16" s="1"/>
  <c r="J47" i="15"/>
  <c r="P47" i="15" s="1"/>
  <c r="J41" i="16"/>
  <c r="P41" i="16" s="1"/>
  <c r="J16" i="16"/>
  <c r="P16" i="16" s="1"/>
  <c r="J46" i="16"/>
  <c r="P46" i="16" s="1"/>
  <c r="J47" i="16"/>
  <c r="P47" i="16" s="1"/>
  <c r="R39" i="2"/>
  <c r="Y39" i="2" s="1"/>
  <c r="N54" i="16"/>
  <c r="T54" i="16" s="1"/>
  <c r="N40" i="16"/>
  <c r="T40" i="16" s="1"/>
  <c r="N39" i="16"/>
  <c r="T39" i="16" s="1"/>
  <c r="N34" i="16"/>
  <c r="N31" i="16"/>
  <c r="T31" i="16" s="1"/>
  <c r="N30" i="16"/>
  <c r="T30" i="16" s="1"/>
  <c r="N26" i="16"/>
  <c r="T26" i="16" s="1"/>
  <c r="N53" i="16"/>
  <c r="T53" i="16" s="1"/>
  <c r="N49" i="16"/>
  <c r="T49" i="16" s="1"/>
  <c r="N38" i="16"/>
  <c r="N28" i="16"/>
  <c r="N52" i="16"/>
  <c r="T52" i="16" s="1"/>
  <c r="N48" i="16"/>
  <c r="T48" i="16" s="1"/>
  <c r="N29" i="16"/>
  <c r="T29" i="16" s="1"/>
  <c r="N25" i="16"/>
  <c r="T25" i="16" s="1"/>
  <c r="N24" i="16"/>
  <c r="T24" i="16" s="1"/>
  <c r="N60" i="16"/>
  <c r="N58" i="16"/>
  <c r="T58" i="16" s="1"/>
  <c r="N57" i="16"/>
  <c r="T57" i="16" s="1"/>
  <c r="N44" i="16"/>
  <c r="T44" i="16" s="1"/>
  <c r="N23" i="16"/>
  <c r="T23" i="16" s="1"/>
  <c r="N21" i="16"/>
  <c r="T21" i="16" s="1"/>
  <c r="N17" i="16"/>
  <c r="T17" i="16" s="1"/>
  <c r="N57" i="15"/>
  <c r="T57" i="15" s="1"/>
  <c r="N56" i="15"/>
  <c r="T56" i="15" s="1"/>
  <c r="N51" i="16"/>
  <c r="N47" i="16"/>
  <c r="T47" i="16" s="1"/>
  <c r="N46" i="16"/>
  <c r="N22" i="16"/>
  <c r="T22" i="16" s="1"/>
  <c r="N16" i="16"/>
  <c r="T16" i="16" s="1"/>
  <c r="N15" i="16"/>
  <c r="T15" i="16" s="1"/>
  <c r="N14" i="16"/>
  <c r="T14" i="16" s="1"/>
  <c r="N55" i="15"/>
  <c r="T55" i="15" s="1"/>
  <c r="N49" i="15"/>
  <c r="T49" i="15" s="1"/>
  <c r="N38" i="15"/>
  <c r="N35" i="15"/>
  <c r="T35" i="15" s="1"/>
  <c r="N29" i="15"/>
  <c r="T29" i="15" s="1"/>
  <c r="N26" i="15"/>
  <c r="T26" i="15" s="1"/>
  <c r="N25" i="15"/>
  <c r="T25" i="15" s="1"/>
  <c r="N56" i="16"/>
  <c r="T56" i="16" s="1"/>
  <c r="N43" i="16"/>
  <c r="T43" i="16" s="1"/>
  <c r="N20" i="16"/>
  <c r="T20" i="16" s="1"/>
  <c r="N19" i="16"/>
  <c r="N12" i="16"/>
  <c r="T12" i="16" s="1"/>
  <c r="N34" i="15"/>
  <c r="N31" i="15"/>
  <c r="T31" i="15" s="1"/>
  <c r="N42" i="16"/>
  <c r="T42" i="16" s="1"/>
  <c r="N41" i="16"/>
  <c r="T41" i="16" s="1"/>
  <c r="N13" i="16"/>
  <c r="T13" i="16" s="1"/>
  <c r="N54" i="15"/>
  <c r="T54" i="15" s="1"/>
  <c r="N53" i="15"/>
  <c r="T53" i="15" s="1"/>
  <c r="N48" i="15"/>
  <c r="T48" i="15" s="1"/>
  <c r="N44" i="15"/>
  <c r="T44" i="15" s="1"/>
  <c r="N32" i="15"/>
  <c r="T32" i="15" s="1"/>
  <c r="N30" i="15"/>
  <c r="T30" i="15" s="1"/>
  <c r="N35" i="16"/>
  <c r="T35" i="16" s="1"/>
  <c r="N10" i="16"/>
  <c r="N43" i="15"/>
  <c r="T43" i="15" s="1"/>
  <c r="N19" i="15"/>
  <c r="N60" i="14"/>
  <c r="N36" i="14"/>
  <c r="T36" i="14" s="1"/>
  <c r="N35" i="14"/>
  <c r="T35" i="14" s="1"/>
  <c r="N55" i="16"/>
  <c r="T55" i="16" s="1"/>
  <c r="N28" i="15"/>
  <c r="N14" i="15"/>
  <c r="T14" i="15" s="1"/>
  <c r="N13" i="15"/>
  <c r="T13" i="15" s="1"/>
  <c r="N58" i="14"/>
  <c r="T58" i="14" s="1"/>
  <c r="N41" i="14"/>
  <c r="T41" i="14" s="1"/>
  <c r="N40" i="14"/>
  <c r="T40" i="14" s="1"/>
  <c r="N39" i="14"/>
  <c r="T39" i="14" s="1"/>
  <c r="N30" i="14"/>
  <c r="T30" i="14" s="1"/>
  <c r="N60" i="15"/>
  <c r="N52" i="15"/>
  <c r="T52" i="15" s="1"/>
  <c r="N41" i="15"/>
  <c r="T41" i="15" s="1"/>
  <c r="N12" i="15"/>
  <c r="T12" i="15" s="1"/>
  <c r="N34" i="14"/>
  <c r="N29" i="14"/>
  <c r="T29" i="14" s="1"/>
  <c r="N26" i="14"/>
  <c r="T26" i="14" s="1"/>
  <c r="N46" i="15"/>
  <c r="N11" i="15"/>
  <c r="T11" i="15" s="1"/>
  <c r="N57" i="14"/>
  <c r="T57" i="14" s="1"/>
  <c r="N38" i="14"/>
  <c r="N28" i="14"/>
  <c r="N25" i="14"/>
  <c r="T25" i="14" s="1"/>
  <c r="N11" i="16"/>
  <c r="T11" i="16" s="1"/>
  <c r="N42" i="15"/>
  <c r="T42" i="15" s="1"/>
  <c r="N39" i="15"/>
  <c r="T39" i="15" s="1"/>
  <c r="N24" i="15"/>
  <c r="T24" i="15" s="1"/>
  <c r="N23" i="15"/>
  <c r="T23" i="15" s="1"/>
  <c r="N10" i="15"/>
  <c r="N56" i="14"/>
  <c r="T56" i="14" s="1"/>
  <c r="N55" i="14"/>
  <c r="T55" i="14" s="1"/>
  <c r="N58" i="15"/>
  <c r="T58" i="15" s="1"/>
  <c r="N22" i="15"/>
  <c r="T22" i="15" s="1"/>
  <c r="N17" i="15"/>
  <c r="T17" i="15" s="1"/>
  <c r="N16" i="15"/>
  <c r="T16" i="15" s="1"/>
  <c r="N49" i="14"/>
  <c r="T49" i="14" s="1"/>
  <c r="N48" i="14"/>
  <c r="T48" i="14" s="1"/>
  <c r="N44" i="14"/>
  <c r="T44" i="14" s="1"/>
  <c r="N23" i="14"/>
  <c r="T23" i="14" s="1"/>
  <c r="N40" i="15"/>
  <c r="T40" i="15" s="1"/>
  <c r="N36" i="15"/>
  <c r="T36" i="15" s="1"/>
  <c r="N21" i="15"/>
  <c r="T21" i="15" s="1"/>
  <c r="N20" i="15"/>
  <c r="T20" i="15" s="1"/>
  <c r="N54" i="14"/>
  <c r="T54" i="14" s="1"/>
  <c r="N53" i="14"/>
  <c r="T53" i="14" s="1"/>
  <c r="N52" i="14"/>
  <c r="T52" i="14" s="1"/>
  <c r="N47" i="14"/>
  <c r="T47" i="14" s="1"/>
  <c r="N46" i="14"/>
  <c r="N43" i="14"/>
  <c r="T43" i="14" s="1"/>
  <c r="N32" i="16"/>
  <c r="T32" i="16" s="1"/>
  <c r="N47" i="15"/>
  <c r="T47" i="15" s="1"/>
  <c r="N24" i="14"/>
  <c r="T24" i="14" s="1"/>
  <c r="N17" i="14"/>
  <c r="T17" i="14" s="1"/>
  <c r="N14" i="14"/>
  <c r="T14" i="14" s="1"/>
  <c r="N42" i="13"/>
  <c r="T42" i="13" s="1"/>
  <c r="N41" i="13"/>
  <c r="T41" i="13" s="1"/>
  <c r="N36" i="13"/>
  <c r="T36" i="13" s="1"/>
  <c r="N35" i="13"/>
  <c r="N32" i="13"/>
  <c r="T32" i="13" s="1"/>
  <c r="N31" i="13"/>
  <c r="T31" i="13" s="1"/>
  <c r="N15" i="13"/>
  <c r="T15" i="13" s="1"/>
  <c r="N15" i="15"/>
  <c r="T15" i="15" s="1"/>
  <c r="N42" i="14"/>
  <c r="T42" i="14" s="1"/>
  <c r="N13" i="14"/>
  <c r="T13" i="14" s="1"/>
  <c r="N60" i="13"/>
  <c r="N40" i="13"/>
  <c r="T40" i="13" s="1"/>
  <c r="N34" i="13"/>
  <c r="T34" i="13" s="1"/>
  <c r="N30" i="13"/>
  <c r="T30" i="13" s="1"/>
  <c r="N29" i="13"/>
  <c r="T29" i="13" s="1"/>
  <c r="N19" i="13"/>
  <c r="N14" i="13"/>
  <c r="T14" i="13" s="1"/>
  <c r="N56" i="12"/>
  <c r="T56" i="12" s="1"/>
  <c r="N51" i="15"/>
  <c r="N51" i="14"/>
  <c r="N20" i="14"/>
  <c r="T20" i="14" s="1"/>
  <c r="N12" i="14"/>
  <c r="T12" i="14" s="1"/>
  <c r="N39" i="13"/>
  <c r="N28" i="13"/>
  <c r="N26" i="13"/>
  <c r="T26" i="13" s="1"/>
  <c r="N13" i="13"/>
  <c r="T13" i="13" s="1"/>
  <c r="N36" i="16"/>
  <c r="T36" i="16" s="1"/>
  <c r="N32" i="14"/>
  <c r="T32" i="14" s="1"/>
  <c r="N11" i="14"/>
  <c r="T11" i="14" s="1"/>
  <c r="N56" i="13"/>
  <c r="T56" i="13" s="1"/>
  <c r="N38" i="13"/>
  <c r="T38" i="13" s="1"/>
  <c r="N25" i="13"/>
  <c r="T25" i="13" s="1"/>
  <c r="N12" i="13"/>
  <c r="T12" i="13" s="1"/>
  <c r="N54" i="12"/>
  <c r="T54" i="12" s="1"/>
  <c r="N31" i="14"/>
  <c r="T31" i="14" s="1"/>
  <c r="N10" i="14"/>
  <c r="N58" i="13"/>
  <c r="T58" i="13" s="1"/>
  <c r="N57" i="13"/>
  <c r="T57" i="13" s="1"/>
  <c r="N55" i="13"/>
  <c r="T55" i="13" s="1"/>
  <c r="N24" i="13"/>
  <c r="T24" i="13" s="1"/>
  <c r="N11" i="13"/>
  <c r="T11" i="13" s="1"/>
  <c r="N53" i="12"/>
  <c r="T53" i="12" s="1"/>
  <c r="N49" i="12"/>
  <c r="T49" i="12" s="1"/>
  <c r="N21" i="14"/>
  <c r="T21" i="14" s="1"/>
  <c r="N54" i="13"/>
  <c r="T54" i="13" s="1"/>
  <c r="N53" i="13"/>
  <c r="T53" i="13" s="1"/>
  <c r="N49" i="13"/>
  <c r="T49" i="13" s="1"/>
  <c r="N44" i="13"/>
  <c r="T44" i="13" s="1"/>
  <c r="N23" i="13"/>
  <c r="T23" i="13" s="1"/>
  <c r="N51" i="13"/>
  <c r="N17" i="13"/>
  <c r="T17" i="13" s="1"/>
  <c r="N47" i="12"/>
  <c r="T47" i="12" s="1"/>
  <c r="N46" i="12"/>
  <c r="N34" i="12"/>
  <c r="N47" i="13"/>
  <c r="T47" i="13" s="1"/>
  <c r="N10" i="13"/>
  <c r="N52" i="12"/>
  <c r="T52" i="12" s="1"/>
  <c r="N44" i="12"/>
  <c r="T44" i="12" s="1"/>
  <c r="N32" i="12"/>
  <c r="T32" i="12" s="1"/>
  <c r="N22" i="14"/>
  <c r="T22" i="14" s="1"/>
  <c r="N16" i="13"/>
  <c r="T16" i="13" s="1"/>
  <c r="N46" i="13"/>
  <c r="N43" i="13"/>
  <c r="T43" i="13" s="1"/>
  <c r="N60" i="12"/>
  <c r="N55" i="12"/>
  <c r="T55" i="12" s="1"/>
  <c r="N28" i="12"/>
  <c r="N22" i="12"/>
  <c r="T22" i="12" s="1"/>
  <c r="N12" i="12"/>
  <c r="T12" i="12" s="1"/>
  <c r="N11" i="12"/>
  <c r="T11" i="12" s="1"/>
  <c r="N58" i="11"/>
  <c r="T58" i="11" s="1"/>
  <c r="N44" i="11"/>
  <c r="T44" i="11" s="1"/>
  <c r="N16" i="14"/>
  <c r="T16" i="14" s="1"/>
  <c r="N52" i="13"/>
  <c r="T52" i="13" s="1"/>
  <c r="N21" i="13"/>
  <c r="T21" i="13" s="1"/>
  <c r="N40" i="12"/>
  <c r="T40" i="12" s="1"/>
  <c r="N36" i="12"/>
  <c r="T36" i="12" s="1"/>
  <c r="N10" i="12"/>
  <c r="N57" i="11"/>
  <c r="T57" i="11" s="1"/>
  <c r="N56" i="11"/>
  <c r="T56" i="11" s="1"/>
  <c r="N46" i="11"/>
  <c r="N43" i="11"/>
  <c r="T43" i="11" s="1"/>
  <c r="N51" i="12"/>
  <c r="N48" i="12"/>
  <c r="T48" i="12" s="1"/>
  <c r="N30" i="12"/>
  <c r="T30" i="12" s="1"/>
  <c r="N60" i="11"/>
  <c r="N49" i="11"/>
  <c r="T49" i="11" s="1"/>
  <c r="N30" i="11"/>
  <c r="T30" i="11" s="1"/>
  <c r="N26" i="11"/>
  <c r="T26" i="11" s="1"/>
  <c r="N15" i="14"/>
  <c r="T15" i="14" s="1"/>
  <c r="N39" i="12"/>
  <c r="T39" i="12" s="1"/>
  <c r="N24" i="12"/>
  <c r="T24" i="12" s="1"/>
  <c r="N21" i="12"/>
  <c r="T21" i="12" s="1"/>
  <c r="N15" i="12"/>
  <c r="T15" i="12" s="1"/>
  <c r="N29" i="11"/>
  <c r="T29" i="11" s="1"/>
  <c r="N28" i="11"/>
  <c r="N19" i="14"/>
  <c r="N41" i="12"/>
  <c r="T41" i="12" s="1"/>
  <c r="N53" i="11"/>
  <c r="T53" i="11" s="1"/>
  <c r="N11" i="11"/>
  <c r="T11" i="11" s="1"/>
  <c r="N60" i="10"/>
  <c r="N52" i="10"/>
  <c r="T52" i="10" s="1"/>
  <c r="N48" i="10"/>
  <c r="T48" i="10" s="1"/>
  <c r="N48" i="13"/>
  <c r="T48" i="13" s="1"/>
  <c r="N31" i="12"/>
  <c r="T31" i="12" s="1"/>
  <c r="N25" i="12"/>
  <c r="T25" i="12" s="1"/>
  <c r="N36" i="11"/>
  <c r="T36" i="11" s="1"/>
  <c r="N25" i="11"/>
  <c r="T25" i="11" s="1"/>
  <c r="N24" i="11"/>
  <c r="T24" i="11" s="1"/>
  <c r="N58" i="12"/>
  <c r="T58" i="12" s="1"/>
  <c r="N43" i="12"/>
  <c r="T43" i="12" s="1"/>
  <c r="N19" i="12"/>
  <c r="N16" i="12"/>
  <c r="T16" i="12" s="1"/>
  <c r="N54" i="11"/>
  <c r="T54" i="11" s="1"/>
  <c r="N47" i="11"/>
  <c r="T47" i="11" s="1"/>
  <c r="N42" i="11"/>
  <c r="T42" i="11" s="1"/>
  <c r="N41" i="11"/>
  <c r="T41" i="11" s="1"/>
  <c r="N40" i="11"/>
  <c r="T40" i="11" s="1"/>
  <c r="N35" i="11"/>
  <c r="T35" i="11" s="1"/>
  <c r="N23" i="11"/>
  <c r="T23" i="11" s="1"/>
  <c r="N16" i="11"/>
  <c r="T16" i="11" s="1"/>
  <c r="N57" i="10"/>
  <c r="T57" i="10" s="1"/>
  <c r="N22" i="13"/>
  <c r="T22" i="13" s="1"/>
  <c r="N57" i="12"/>
  <c r="T57" i="12" s="1"/>
  <c r="N38" i="12"/>
  <c r="N26" i="12"/>
  <c r="T26" i="12" s="1"/>
  <c r="N13" i="12"/>
  <c r="T13" i="12" s="1"/>
  <c r="N55" i="11"/>
  <c r="T55" i="11" s="1"/>
  <c r="N51" i="11"/>
  <c r="N48" i="11"/>
  <c r="T48" i="11" s="1"/>
  <c r="N39" i="11"/>
  <c r="T39" i="11" s="1"/>
  <c r="N32" i="11"/>
  <c r="T32" i="11" s="1"/>
  <c r="N31" i="11"/>
  <c r="T31" i="11" s="1"/>
  <c r="N22" i="11"/>
  <c r="T22" i="11" s="1"/>
  <c r="N40" i="10"/>
  <c r="T40" i="10" s="1"/>
  <c r="N23" i="10"/>
  <c r="T23" i="10" s="1"/>
  <c r="N22" i="10"/>
  <c r="T22" i="10" s="1"/>
  <c r="N13" i="10"/>
  <c r="T13" i="10" s="1"/>
  <c r="N56" i="9"/>
  <c r="T56" i="9" s="1"/>
  <c r="N42" i="9"/>
  <c r="T42" i="9" s="1"/>
  <c r="N34" i="9"/>
  <c r="N20" i="9"/>
  <c r="T20" i="9" s="1"/>
  <c r="N19" i="9"/>
  <c r="N17" i="8"/>
  <c r="T17" i="8" s="1"/>
  <c r="N16" i="8"/>
  <c r="T16" i="8" s="1"/>
  <c r="N20" i="11"/>
  <c r="T20" i="11" s="1"/>
  <c r="N12" i="11"/>
  <c r="T12" i="11" s="1"/>
  <c r="N58" i="10"/>
  <c r="T58" i="10" s="1"/>
  <c r="N51" i="10"/>
  <c r="N39" i="10"/>
  <c r="T39" i="10" s="1"/>
  <c r="N38" i="10"/>
  <c r="N36" i="10"/>
  <c r="T36" i="10" s="1"/>
  <c r="N21" i="10"/>
  <c r="T21" i="10" s="1"/>
  <c r="N55" i="9"/>
  <c r="T55" i="9" s="1"/>
  <c r="N30" i="9"/>
  <c r="T30" i="9" s="1"/>
  <c r="N14" i="9"/>
  <c r="T14" i="9" s="1"/>
  <c r="N25" i="8"/>
  <c r="T25" i="8" s="1"/>
  <c r="N24" i="8"/>
  <c r="T24" i="8" s="1"/>
  <c r="N23" i="12"/>
  <c r="T23" i="12" s="1"/>
  <c r="N13" i="11"/>
  <c r="T13" i="11" s="1"/>
  <c r="N35" i="10"/>
  <c r="T35" i="10" s="1"/>
  <c r="N34" i="10"/>
  <c r="N32" i="10"/>
  <c r="T32" i="10" s="1"/>
  <c r="N12" i="10"/>
  <c r="T12" i="10" s="1"/>
  <c r="N60" i="9"/>
  <c r="N54" i="9"/>
  <c r="T54" i="9" s="1"/>
  <c r="N41" i="9"/>
  <c r="T41" i="9" s="1"/>
  <c r="N26" i="9"/>
  <c r="T26" i="9" s="1"/>
  <c r="N44" i="8"/>
  <c r="T44" i="8" s="1"/>
  <c r="N26" i="8"/>
  <c r="T26" i="8" s="1"/>
  <c r="N23" i="8"/>
  <c r="T23" i="8" s="1"/>
  <c r="N22" i="8"/>
  <c r="T22" i="8" s="1"/>
  <c r="N21" i="8"/>
  <c r="T21" i="8" s="1"/>
  <c r="N20" i="8"/>
  <c r="T20" i="8" s="1"/>
  <c r="N35" i="12"/>
  <c r="T35" i="12" s="1"/>
  <c r="N21" i="11"/>
  <c r="T21" i="11" s="1"/>
  <c r="N14" i="11"/>
  <c r="T14" i="11" s="1"/>
  <c r="N54" i="10"/>
  <c r="T54" i="10" s="1"/>
  <c r="N47" i="10"/>
  <c r="T47" i="10" s="1"/>
  <c r="N44" i="10"/>
  <c r="T44" i="10" s="1"/>
  <c r="N29" i="10"/>
  <c r="T29" i="10" s="1"/>
  <c r="N25" i="10"/>
  <c r="T25" i="10" s="1"/>
  <c r="N19" i="10"/>
  <c r="N58" i="9"/>
  <c r="T58" i="9" s="1"/>
  <c r="N48" i="9"/>
  <c r="T48" i="9" s="1"/>
  <c r="N40" i="9"/>
  <c r="T40" i="9" s="1"/>
  <c r="N15" i="11"/>
  <c r="T15" i="11" s="1"/>
  <c r="N49" i="10"/>
  <c r="T49" i="10" s="1"/>
  <c r="N43" i="10"/>
  <c r="T43" i="10" s="1"/>
  <c r="N42" i="10"/>
  <c r="T42" i="10" s="1"/>
  <c r="N16" i="10"/>
  <c r="T16" i="10" s="1"/>
  <c r="N52" i="9"/>
  <c r="T52" i="9" s="1"/>
  <c r="N51" i="9"/>
  <c r="N47" i="9"/>
  <c r="T47" i="9" s="1"/>
  <c r="N44" i="9"/>
  <c r="T44" i="9" s="1"/>
  <c r="N39" i="9"/>
  <c r="T39" i="9" s="1"/>
  <c r="N36" i="9"/>
  <c r="T36" i="9" s="1"/>
  <c r="N23" i="9"/>
  <c r="T23" i="9" s="1"/>
  <c r="N10" i="9"/>
  <c r="N55" i="8"/>
  <c r="T55" i="8" s="1"/>
  <c r="N38" i="8"/>
  <c r="N34" i="8"/>
  <c r="N31" i="8"/>
  <c r="T31" i="8" s="1"/>
  <c r="N29" i="8"/>
  <c r="T29" i="8" s="1"/>
  <c r="N28" i="8"/>
  <c r="N41" i="10"/>
  <c r="T41" i="10" s="1"/>
  <c r="N28" i="10"/>
  <c r="N49" i="9"/>
  <c r="T49" i="9" s="1"/>
  <c r="N38" i="9"/>
  <c r="N28" i="9"/>
  <c r="N16" i="9"/>
  <c r="T16" i="9" s="1"/>
  <c r="N46" i="8"/>
  <c r="N42" i="8"/>
  <c r="T42" i="8" s="1"/>
  <c r="N40" i="8"/>
  <c r="T40" i="8" s="1"/>
  <c r="N13" i="8"/>
  <c r="T13" i="8" s="1"/>
  <c r="N12" i="8"/>
  <c r="T12" i="8" s="1"/>
  <c r="N56" i="7"/>
  <c r="T56" i="7" s="1"/>
  <c r="N54" i="7"/>
  <c r="T54" i="7" s="1"/>
  <c r="N53" i="7"/>
  <c r="T53" i="7" s="1"/>
  <c r="N48" i="7"/>
  <c r="T48" i="7" s="1"/>
  <c r="N47" i="7"/>
  <c r="T47" i="7" s="1"/>
  <c r="N44" i="7"/>
  <c r="T44" i="7" s="1"/>
  <c r="N36" i="7"/>
  <c r="T36" i="7" s="1"/>
  <c r="N28" i="7"/>
  <c r="N25" i="7"/>
  <c r="T25" i="7" s="1"/>
  <c r="N12" i="7"/>
  <c r="T12" i="7" s="1"/>
  <c r="N11" i="7"/>
  <c r="T11" i="7" s="1"/>
  <c r="N52" i="6"/>
  <c r="T52" i="6" s="1"/>
  <c r="N30" i="10"/>
  <c r="T30" i="10" s="1"/>
  <c r="N21" i="9"/>
  <c r="T21" i="9" s="1"/>
  <c r="N12" i="9"/>
  <c r="T12" i="9" s="1"/>
  <c r="N19" i="8"/>
  <c r="N15" i="8"/>
  <c r="T15" i="8" s="1"/>
  <c r="N14" i="8"/>
  <c r="T14" i="8" s="1"/>
  <c r="N11" i="8"/>
  <c r="T11" i="8" s="1"/>
  <c r="N10" i="8"/>
  <c r="N55" i="7"/>
  <c r="T55" i="7" s="1"/>
  <c r="N52" i="7"/>
  <c r="T52" i="7" s="1"/>
  <c r="N51" i="7"/>
  <c r="N46" i="7"/>
  <c r="N24" i="7"/>
  <c r="T24" i="7" s="1"/>
  <c r="N19" i="7"/>
  <c r="N17" i="7"/>
  <c r="T17" i="7" s="1"/>
  <c r="N58" i="6"/>
  <c r="T58" i="6" s="1"/>
  <c r="N47" i="6"/>
  <c r="T47" i="6" s="1"/>
  <c r="N44" i="6"/>
  <c r="T44" i="6" s="1"/>
  <c r="N38" i="6"/>
  <c r="N35" i="6"/>
  <c r="T35" i="6" s="1"/>
  <c r="N25" i="6"/>
  <c r="T25" i="6" s="1"/>
  <c r="N17" i="12"/>
  <c r="T17" i="12" s="1"/>
  <c r="N53" i="10"/>
  <c r="T53" i="10" s="1"/>
  <c r="N14" i="10"/>
  <c r="T14" i="10" s="1"/>
  <c r="N53" i="9"/>
  <c r="T53" i="9" s="1"/>
  <c r="N35" i="9"/>
  <c r="T35" i="9" s="1"/>
  <c r="N57" i="8"/>
  <c r="T57" i="8" s="1"/>
  <c r="N36" i="8"/>
  <c r="T36" i="8" s="1"/>
  <c r="N43" i="7"/>
  <c r="T43" i="7" s="1"/>
  <c r="N23" i="7"/>
  <c r="T23" i="7" s="1"/>
  <c r="N16" i="7"/>
  <c r="T16" i="7" s="1"/>
  <c r="N51" i="6"/>
  <c r="N34" i="6"/>
  <c r="N14" i="12"/>
  <c r="T14" i="12" s="1"/>
  <c r="N52" i="11"/>
  <c r="T52" i="11" s="1"/>
  <c r="N34" i="11"/>
  <c r="N20" i="10"/>
  <c r="T20" i="10" s="1"/>
  <c r="N11" i="10"/>
  <c r="T11" i="10" s="1"/>
  <c r="N57" i="9"/>
  <c r="T57" i="9" s="1"/>
  <c r="N29" i="9"/>
  <c r="T29" i="9" s="1"/>
  <c r="N22" i="9"/>
  <c r="T22" i="9" s="1"/>
  <c r="N15" i="9"/>
  <c r="T15" i="9" s="1"/>
  <c r="N51" i="8"/>
  <c r="N47" i="8"/>
  <c r="T47" i="8" s="1"/>
  <c r="N43" i="8"/>
  <c r="T43" i="8" s="1"/>
  <c r="N41" i="8"/>
  <c r="T41" i="8" s="1"/>
  <c r="N31" i="7"/>
  <c r="T31" i="7" s="1"/>
  <c r="N15" i="7"/>
  <c r="T15" i="7" s="1"/>
  <c r="N60" i="6"/>
  <c r="N56" i="6"/>
  <c r="T56" i="6" s="1"/>
  <c r="N32" i="6"/>
  <c r="T32" i="6" s="1"/>
  <c r="N20" i="12"/>
  <c r="T20" i="12" s="1"/>
  <c r="N38" i="11"/>
  <c r="N17" i="11"/>
  <c r="T17" i="11" s="1"/>
  <c r="N55" i="10"/>
  <c r="T55" i="10" s="1"/>
  <c r="N43" i="9"/>
  <c r="T43" i="9" s="1"/>
  <c r="N13" i="9"/>
  <c r="T13" i="9" s="1"/>
  <c r="N39" i="8"/>
  <c r="T39" i="8" s="1"/>
  <c r="N32" i="8"/>
  <c r="T32" i="8" s="1"/>
  <c r="N40" i="7"/>
  <c r="T40" i="7" s="1"/>
  <c r="N30" i="7"/>
  <c r="T30" i="7" s="1"/>
  <c r="N22" i="7"/>
  <c r="T22" i="7" s="1"/>
  <c r="N14" i="7"/>
  <c r="T14" i="7" s="1"/>
  <c r="N46" i="9"/>
  <c r="N26" i="7"/>
  <c r="T26" i="7" s="1"/>
  <c r="N13" i="7"/>
  <c r="T13" i="7" s="1"/>
  <c r="N30" i="6"/>
  <c r="N23" i="6"/>
  <c r="T23" i="6" s="1"/>
  <c r="N14" i="6"/>
  <c r="T14" i="6" s="1"/>
  <c r="N10" i="6"/>
  <c r="N17" i="9"/>
  <c r="T17" i="9" s="1"/>
  <c r="N54" i="8"/>
  <c r="T54" i="8" s="1"/>
  <c r="N30" i="8"/>
  <c r="T30" i="8" s="1"/>
  <c r="N49" i="7"/>
  <c r="T49" i="7" s="1"/>
  <c r="N38" i="7"/>
  <c r="N34" i="7"/>
  <c r="N32" i="7"/>
  <c r="T32" i="7" s="1"/>
  <c r="N57" i="6"/>
  <c r="T57" i="6" s="1"/>
  <c r="N49" i="6"/>
  <c r="T49" i="6" s="1"/>
  <c r="N42" i="6"/>
  <c r="T42" i="6" s="1"/>
  <c r="N26" i="6"/>
  <c r="T26" i="6" s="1"/>
  <c r="N24" i="6"/>
  <c r="T24" i="6" s="1"/>
  <c r="N22" i="6"/>
  <c r="T22" i="6" s="1"/>
  <c r="N44" i="5"/>
  <c r="T44" i="5" s="1"/>
  <c r="N43" i="5"/>
  <c r="T43" i="5" s="1"/>
  <c r="N56" i="10"/>
  <c r="T56" i="10" s="1"/>
  <c r="N17" i="10"/>
  <c r="T17" i="10" s="1"/>
  <c r="N25" i="9"/>
  <c r="T25" i="9" s="1"/>
  <c r="N58" i="8"/>
  <c r="T58" i="8" s="1"/>
  <c r="N53" i="8"/>
  <c r="T53" i="8" s="1"/>
  <c r="N60" i="7"/>
  <c r="N21" i="7"/>
  <c r="T21" i="7" s="1"/>
  <c r="N55" i="6"/>
  <c r="T55" i="6" s="1"/>
  <c r="N46" i="6"/>
  <c r="N31" i="6"/>
  <c r="T31" i="6" s="1"/>
  <c r="N21" i="6"/>
  <c r="T21" i="6" s="1"/>
  <c r="N31" i="10"/>
  <c r="T31" i="10" s="1"/>
  <c r="N10" i="10"/>
  <c r="N24" i="9"/>
  <c r="T24" i="9" s="1"/>
  <c r="N11" i="9"/>
  <c r="T11" i="9" s="1"/>
  <c r="N60" i="8"/>
  <c r="N49" i="8"/>
  <c r="T49" i="8" s="1"/>
  <c r="N42" i="7"/>
  <c r="T42" i="7" s="1"/>
  <c r="N43" i="6"/>
  <c r="T43" i="6" s="1"/>
  <c r="N39" i="6"/>
  <c r="T39" i="6" s="1"/>
  <c r="N42" i="12"/>
  <c r="T42" i="12" s="1"/>
  <c r="N10" i="11"/>
  <c r="N26" i="10"/>
  <c r="T26" i="10" s="1"/>
  <c r="N32" i="9"/>
  <c r="T32" i="9" s="1"/>
  <c r="N52" i="8"/>
  <c r="T52" i="8" s="1"/>
  <c r="N58" i="7"/>
  <c r="T58" i="7" s="1"/>
  <c r="N29" i="7"/>
  <c r="T29" i="7" s="1"/>
  <c r="N10" i="7"/>
  <c r="N53" i="6"/>
  <c r="T53" i="6" s="1"/>
  <c r="N36" i="6"/>
  <c r="T36" i="6" s="1"/>
  <c r="N20" i="6"/>
  <c r="T20" i="6" s="1"/>
  <c r="N17" i="6"/>
  <c r="T17" i="6" s="1"/>
  <c r="N46" i="5"/>
  <c r="N20" i="13"/>
  <c r="T20" i="13" s="1"/>
  <c r="N29" i="12"/>
  <c r="T29" i="12" s="1"/>
  <c r="N15" i="10"/>
  <c r="T15" i="10" s="1"/>
  <c r="N31" i="9"/>
  <c r="T31" i="9" s="1"/>
  <c r="N56" i="8"/>
  <c r="T56" i="8" s="1"/>
  <c r="N48" i="8"/>
  <c r="T48" i="8" s="1"/>
  <c r="N20" i="7"/>
  <c r="T20" i="7" s="1"/>
  <c r="N40" i="6"/>
  <c r="T40" i="6" s="1"/>
  <c r="N28" i="6"/>
  <c r="T28" i="6" s="1"/>
  <c r="N19" i="6"/>
  <c r="N12" i="6"/>
  <c r="T12" i="6" s="1"/>
  <c r="N60" i="5"/>
  <c r="N58" i="5"/>
  <c r="T58" i="5" s="1"/>
  <c r="N56" i="5"/>
  <c r="T56" i="5" s="1"/>
  <c r="N55" i="5"/>
  <c r="T55" i="5" s="1"/>
  <c r="N57" i="7"/>
  <c r="T57" i="7" s="1"/>
  <c r="N40" i="5"/>
  <c r="T40" i="5" s="1"/>
  <c r="N39" i="5"/>
  <c r="T39" i="5" s="1"/>
  <c r="N30" i="5"/>
  <c r="T30" i="5" s="1"/>
  <c r="N25" i="5"/>
  <c r="T25" i="5" s="1"/>
  <c r="N24" i="5"/>
  <c r="T24" i="5" s="1"/>
  <c r="N40" i="4"/>
  <c r="T40" i="4" s="1"/>
  <c r="N36" i="4"/>
  <c r="T36" i="4" s="1"/>
  <c r="N29" i="6"/>
  <c r="T29" i="6" s="1"/>
  <c r="N16" i="6"/>
  <c r="T16" i="6" s="1"/>
  <c r="N52" i="5"/>
  <c r="T52" i="5" s="1"/>
  <c r="N47" i="5"/>
  <c r="T47" i="5" s="1"/>
  <c r="N38" i="5"/>
  <c r="N29" i="5"/>
  <c r="T29" i="5" s="1"/>
  <c r="N28" i="5"/>
  <c r="T28" i="5" s="1"/>
  <c r="N23" i="5"/>
  <c r="T23" i="5" s="1"/>
  <c r="N10" i="5"/>
  <c r="N57" i="4"/>
  <c r="T57" i="4" s="1"/>
  <c r="N56" i="4"/>
  <c r="T56" i="4" s="1"/>
  <c r="N39" i="4"/>
  <c r="T39" i="4" s="1"/>
  <c r="N35" i="4"/>
  <c r="T35" i="4" s="1"/>
  <c r="N32" i="4"/>
  <c r="T32" i="4" s="1"/>
  <c r="N21" i="4"/>
  <c r="T21" i="4" s="1"/>
  <c r="N17" i="4"/>
  <c r="T17" i="4" s="1"/>
  <c r="N12" i="5"/>
  <c r="T12" i="5" s="1"/>
  <c r="N46" i="10"/>
  <c r="N41" i="7"/>
  <c r="T41" i="7" s="1"/>
  <c r="N35" i="7"/>
  <c r="T35" i="7" s="1"/>
  <c r="N57" i="5"/>
  <c r="T57" i="5" s="1"/>
  <c r="N41" i="5"/>
  <c r="T41" i="5" s="1"/>
  <c r="N17" i="5"/>
  <c r="T17" i="5" s="1"/>
  <c r="N16" i="5"/>
  <c r="T16" i="5" s="1"/>
  <c r="N38" i="4"/>
  <c r="N34" i="4"/>
  <c r="N31" i="4"/>
  <c r="T31" i="4" s="1"/>
  <c r="N20" i="4"/>
  <c r="T20" i="4" s="1"/>
  <c r="N16" i="4"/>
  <c r="T16" i="4" s="1"/>
  <c r="N48" i="5"/>
  <c r="T48" i="5" s="1"/>
  <c r="N19" i="11"/>
  <c r="N11" i="6"/>
  <c r="T11" i="6" s="1"/>
  <c r="N54" i="5"/>
  <c r="T54" i="5" s="1"/>
  <c r="N49" i="5"/>
  <c r="T49" i="5" s="1"/>
  <c r="N42" i="5"/>
  <c r="T42" i="5" s="1"/>
  <c r="N22" i="5"/>
  <c r="T22" i="5" s="1"/>
  <c r="N15" i="5"/>
  <c r="T15" i="5" s="1"/>
  <c r="N55" i="4"/>
  <c r="T55" i="4" s="1"/>
  <c r="N30" i="4"/>
  <c r="T30" i="4" s="1"/>
  <c r="N19" i="4"/>
  <c r="T19" i="4" s="1"/>
  <c r="N15" i="4"/>
  <c r="T15" i="4" s="1"/>
  <c r="N35" i="8"/>
  <c r="T35" i="8" s="1"/>
  <c r="N39" i="7"/>
  <c r="T39" i="7" s="1"/>
  <c r="N54" i="6"/>
  <c r="T54" i="6" s="1"/>
  <c r="N41" i="6"/>
  <c r="T41" i="6" s="1"/>
  <c r="N13" i="6"/>
  <c r="T13" i="6" s="1"/>
  <c r="N51" i="5"/>
  <c r="N21" i="5"/>
  <c r="T21" i="5" s="1"/>
  <c r="N20" i="5"/>
  <c r="T20" i="5" s="1"/>
  <c r="N54" i="4"/>
  <c r="T54" i="4" s="1"/>
  <c r="N29" i="4"/>
  <c r="T29" i="4" s="1"/>
  <c r="N26" i="4"/>
  <c r="T26" i="4" s="1"/>
  <c r="N14" i="4"/>
  <c r="T14" i="4" s="1"/>
  <c r="N13" i="5"/>
  <c r="T13" i="5" s="1"/>
  <c r="N15" i="6"/>
  <c r="T15" i="6" s="1"/>
  <c r="N36" i="5"/>
  <c r="T36" i="5" s="1"/>
  <c r="N35" i="5"/>
  <c r="T35" i="5" s="1"/>
  <c r="N32" i="5"/>
  <c r="N19" i="5"/>
  <c r="N14" i="5"/>
  <c r="T14" i="5" s="1"/>
  <c r="N53" i="4"/>
  <c r="T53" i="4" s="1"/>
  <c r="N49" i="4"/>
  <c r="T49" i="4" s="1"/>
  <c r="N44" i="4"/>
  <c r="T44" i="4" s="1"/>
  <c r="N43" i="4"/>
  <c r="T43" i="4" s="1"/>
  <c r="N42" i="4"/>
  <c r="T42" i="4" s="1"/>
  <c r="N25" i="4"/>
  <c r="T25" i="4" s="1"/>
  <c r="N13" i="4"/>
  <c r="T13" i="4" s="1"/>
  <c r="N53" i="5"/>
  <c r="T53" i="5" s="1"/>
  <c r="N31" i="5"/>
  <c r="T31" i="5" s="1"/>
  <c r="N28" i="4"/>
  <c r="N24" i="10"/>
  <c r="T24" i="10" s="1"/>
  <c r="N11" i="5"/>
  <c r="T11" i="5" s="1"/>
  <c r="N60" i="4"/>
  <c r="N10" i="4"/>
  <c r="N51" i="4"/>
  <c r="N24" i="4"/>
  <c r="T24" i="4" s="1"/>
  <c r="N46" i="4"/>
  <c r="N26" i="5"/>
  <c r="T26" i="5" s="1"/>
  <c r="N48" i="4"/>
  <c r="T48" i="4" s="1"/>
  <c r="N23" i="4"/>
  <c r="N12" i="4"/>
  <c r="T12" i="4" s="1"/>
  <c r="N41" i="4"/>
  <c r="T41" i="4" s="1"/>
  <c r="N48" i="6"/>
  <c r="T48" i="6" s="1"/>
  <c r="N52" i="4"/>
  <c r="T52" i="4" s="1"/>
  <c r="N47" i="4"/>
  <c r="T47" i="4" s="1"/>
  <c r="N22" i="4"/>
  <c r="T22" i="4" s="1"/>
  <c r="N11" i="4"/>
  <c r="T11" i="4" s="1"/>
  <c r="N34" i="5"/>
  <c r="N58" i="4"/>
  <c r="T58" i="4" s="1"/>
  <c r="R31" i="2"/>
  <c r="Y31" i="2" s="1"/>
  <c r="M55" i="16"/>
  <c r="S55" i="16" s="1"/>
  <c r="M36" i="16"/>
  <c r="S36" i="16" s="1"/>
  <c r="M35" i="16"/>
  <c r="S35" i="16" s="1"/>
  <c r="M32" i="16"/>
  <c r="S32" i="16" s="1"/>
  <c r="M54" i="16"/>
  <c r="S54" i="16" s="1"/>
  <c r="M40" i="16"/>
  <c r="S40" i="16" s="1"/>
  <c r="M39" i="16"/>
  <c r="S39" i="16" s="1"/>
  <c r="M34" i="16"/>
  <c r="M31" i="16"/>
  <c r="S31" i="16" s="1"/>
  <c r="M30" i="16"/>
  <c r="S30" i="16" s="1"/>
  <c r="M26" i="16"/>
  <c r="S26" i="16" s="1"/>
  <c r="M53" i="16"/>
  <c r="S53" i="16" s="1"/>
  <c r="M49" i="16"/>
  <c r="S49" i="16" s="1"/>
  <c r="M38" i="16"/>
  <c r="M28" i="16"/>
  <c r="M58" i="15"/>
  <c r="S58" i="15" s="1"/>
  <c r="M52" i="16"/>
  <c r="S52" i="16" s="1"/>
  <c r="M48" i="16"/>
  <c r="S48" i="16" s="1"/>
  <c r="M29" i="16"/>
  <c r="S29" i="16" s="1"/>
  <c r="M25" i="16"/>
  <c r="S25" i="16" s="1"/>
  <c r="M24" i="16"/>
  <c r="S24" i="16" s="1"/>
  <c r="M60" i="16"/>
  <c r="M58" i="16"/>
  <c r="S58" i="16" s="1"/>
  <c r="M57" i="16"/>
  <c r="S57" i="16" s="1"/>
  <c r="M44" i="16"/>
  <c r="S44" i="16" s="1"/>
  <c r="M23" i="16"/>
  <c r="S23" i="16" s="1"/>
  <c r="M21" i="16"/>
  <c r="S21" i="16" s="1"/>
  <c r="M17" i="16"/>
  <c r="S17" i="16" s="1"/>
  <c r="M57" i="15"/>
  <c r="S57" i="15" s="1"/>
  <c r="M56" i="15"/>
  <c r="S56" i="15" s="1"/>
  <c r="M51" i="16"/>
  <c r="M47" i="16"/>
  <c r="S47" i="16" s="1"/>
  <c r="M46" i="16"/>
  <c r="M22" i="16"/>
  <c r="S22" i="16" s="1"/>
  <c r="M16" i="16"/>
  <c r="S16" i="16" s="1"/>
  <c r="M15" i="16"/>
  <c r="S15" i="16" s="1"/>
  <c r="M14" i="16"/>
  <c r="S14" i="16" s="1"/>
  <c r="M55" i="15"/>
  <c r="S55" i="15" s="1"/>
  <c r="M49" i="15"/>
  <c r="S49" i="15" s="1"/>
  <c r="M38" i="15"/>
  <c r="M35" i="15"/>
  <c r="S35" i="15" s="1"/>
  <c r="M29" i="15"/>
  <c r="S29" i="15" s="1"/>
  <c r="M56" i="16"/>
  <c r="S56" i="16" s="1"/>
  <c r="M43" i="16"/>
  <c r="S43" i="16" s="1"/>
  <c r="M20" i="16"/>
  <c r="S20" i="16" s="1"/>
  <c r="M19" i="16"/>
  <c r="M12" i="16"/>
  <c r="S12" i="16" s="1"/>
  <c r="M34" i="15"/>
  <c r="M31" i="15"/>
  <c r="S31" i="15" s="1"/>
  <c r="M28" i="15"/>
  <c r="M24" i="15"/>
  <c r="S24" i="15" s="1"/>
  <c r="M51" i="15"/>
  <c r="M47" i="15"/>
  <c r="S47" i="15" s="1"/>
  <c r="M15" i="15"/>
  <c r="S15" i="15" s="1"/>
  <c r="M51" i="14"/>
  <c r="M42" i="14"/>
  <c r="S42" i="14" s="1"/>
  <c r="M32" i="14"/>
  <c r="S32" i="14" s="1"/>
  <c r="M31" i="14"/>
  <c r="S31" i="14" s="1"/>
  <c r="M10" i="16"/>
  <c r="M43" i="15"/>
  <c r="S43" i="15" s="1"/>
  <c r="M19" i="15"/>
  <c r="M60" i="14"/>
  <c r="M36" i="14"/>
  <c r="S36" i="14" s="1"/>
  <c r="M35" i="14"/>
  <c r="S35" i="14" s="1"/>
  <c r="M21" i="14"/>
  <c r="S21" i="14" s="1"/>
  <c r="M20" i="14"/>
  <c r="S20" i="14" s="1"/>
  <c r="M19" i="14"/>
  <c r="M54" i="15"/>
  <c r="S54" i="15" s="1"/>
  <c r="M14" i="15"/>
  <c r="S14" i="15" s="1"/>
  <c r="M13" i="15"/>
  <c r="S13" i="15" s="1"/>
  <c r="M58" i="14"/>
  <c r="S58" i="14" s="1"/>
  <c r="M41" i="14"/>
  <c r="S41" i="14" s="1"/>
  <c r="M40" i="14"/>
  <c r="S40" i="14" s="1"/>
  <c r="M39" i="14"/>
  <c r="S39" i="14" s="1"/>
  <c r="M30" i="14"/>
  <c r="S30" i="14" s="1"/>
  <c r="M60" i="15"/>
  <c r="M52" i="15"/>
  <c r="S52" i="15" s="1"/>
  <c r="M48" i="15"/>
  <c r="S48" i="15" s="1"/>
  <c r="M41" i="15"/>
  <c r="S41" i="15" s="1"/>
  <c r="M12" i="15"/>
  <c r="S12" i="15" s="1"/>
  <c r="M34" i="14"/>
  <c r="M29" i="14"/>
  <c r="S29" i="14" s="1"/>
  <c r="M26" i="14"/>
  <c r="S26" i="14" s="1"/>
  <c r="M46" i="15"/>
  <c r="M44" i="15"/>
  <c r="S44" i="15" s="1"/>
  <c r="M11" i="15"/>
  <c r="S11" i="15" s="1"/>
  <c r="M57" i="14"/>
  <c r="S57" i="14" s="1"/>
  <c r="M38" i="14"/>
  <c r="M28" i="14"/>
  <c r="M25" i="14"/>
  <c r="S25" i="14" s="1"/>
  <c r="M11" i="16"/>
  <c r="S11" i="16" s="1"/>
  <c r="M42" i="15"/>
  <c r="S42" i="15" s="1"/>
  <c r="M39" i="15"/>
  <c r="S39" i="15" s="1"/>
  <c r="M32" i="15"/>
  <c r="S32" i="15" s="1"/>
  <c r="M25" i="15"/>
  <c r="S25" i="15" s="1"/>
  <c r="M23" i="15"/>
  <c r="S23" i="15" s="1"/>
  <c r="M10" i="15"/>
  <c r="M56" i="14"/>
  <c r="S56" i="14" s="1"/>
  <c r="M55" i="14"/>
  <c r="S55" i="14" s="1"/>
  <c r="M24" i="14"/>
  <c r="S24" i="14" s="1"/>
  <c r="M42" i="16"/>
  <c r="S42" i="16" s="1"/>
  <c r="M13" i="16"/>
  <c r="S13" i="16" s="1"/>
  <c r="M53" i="15"/>
  <c r="S53" i="15" s="1"/>
  <c r="M22" i="15"/>
  <c r="S22" i="15" s="1"/>
  <c r="M17" i="15"/>
  <c r="S17" i="15" s="1"/>
  <c r="M16" i="15"/>
  <c r="S16" i="15" s="1"/>
  <c r="M49" i="14"/>
  <c r="S49" i="14" s="1"/>
  <c r="M48" i="14"/>
  <c r="S48" i="14" s="1"/>
  <c r="M44" i="14"/>
  <c r="S44" i="14" s="1"/>
  <c r="M21" i="15"/>
  <c r="S21" i="15" s="1"/>
  <c r="M53" i="14"/>
  <c r="S53" i="14" s="1"/>
  <c r="M43" i="14"/>
  <c r="S43" i="14" s="1"/>
  <c r="M22" i="14"/>
  <c r="S22" i="14" s="1"/>
  <c r="M51" i="13"/>
  <c r="M46" i="13"/>
  <c r="M43" i="13"/>
  <c r="S43" i="13" s="1"/>
  <c r="M22" i="13"/>
  <c r="S22" i="13" s="1"/>
  <c r="M21" i="13"/>
  <c r="S21" i="13" s="1"/>
  <c r="M20" i="13"/>
  <c r="S20" i="13" s="1"/>
  <c r="M60" i="12"/>
  <c r="M58" i="12"/>
  <c r="S58" i="12" s="1"/>
  <c r="M57" i="12"/>
  <c r="S57" i="12" s="1"/>
  <c r="M51" i="12"/>
  <c r="M20" i="15"/>
  <c r="S20" i="15" s="1"/>
  <c r="M52" i="14"/>
  <c r="S52" i="14" s="1"/>
  <c r="M47" i="14"/>
  <c r="S47" i="14" s="1"/>
  <c r="M17" i="14"/>
  <c r="S17" i="14" s="1"/>
  <c r="M14" i="14"/>
  <c r="S14" i="14" s="1"/>
  <c r="M42" i="13"/>
  <c r="S42" i="13" s="1"/>
  <c r="M41" i="13"/>
  <c r="S41" i="13" s="1"/>
  <c r="M36" i="13"/>
  <c r="S36" i="13" s="1"/>
  <c r="M35" i="13"/>
  <c r="S35" i="13" s="1"/>
  <c r="M32" i="13"/>
  <c r="S32" i="13" s="1"/>
  <c r="M31" i="13"/>
  <c r="S31" i="13" s="1"/>
  <c r="M15" i="13"/>
  <c r="S15" i="13" s="1"/>
  <c r="M46" i="14"/>
  <c r="M13" i="14"/>
  <c r="S13" i="14" s="1"/>
  <c r="M60" i="13"/>
  <c r="M40" i="13"/>
  <c r="S40" i="13" s="1"/>
  <c r="M34" i="13"/>
  <c r="M30" i="13"/>
  <c r="S30" i="13" s="1"/>
  <c r="M29" i="13"/>
  <c r="S29" i="13" s="1"/>
  <c r="M19" i="13"/>
  <c r="M14" i="13"/>
  <c r="S14" i="13" s="1"/>
  <c r="M26" i="15"/>
  <c r="S26" i="15" s="1"/>
  <c r="M23" i="14"/>
  <c r="S23" i="14" s="1"/>
  <c r="M12" i="14"/>
  <c r="S12" i="14" s="1"/>
  <c r="M39" i="13"/>
  <c r="S39" i="13" s="1"/>
  <c r="M28" i="13"/>
  <c r="M26" i="13"/>
  <c r="S26" i="13" s="1"/>
  <c r="M13" i="13"/>
  <c r="S13" i="13" s="1"/>
  <c r="M55" i="12"/>
  <c r="S55" i="12" s="1"/>
  <c r="M11" i="14"/>
  <c r="S11" i="14" s="1"/>
  <c r="M56" i="13"/>
  <c r="S56" i="13" s="1"/>
  <c r="M38" i="13"/>
  <c r="M25" i="13"/>
  <c r="S25" i="13" s="1"/>
  <c r="M12" i="13"/>
  <c r="S12" i="13" s="1"/>
  <c r="M54" i="12"/>
  <c r="S54" i="12" s="1"/>
  <c r="M30" i="15"/>
  <c r="S30" i="15" s="1"/>
  <c r="M10" i="14"/>
  <c r="M58" i="13"/>
  <c r="S58" i="13" s="1"/>
  <c r="M57" i="13"/>
  <c r="S57" i="13" s="1"/>
  <c r="M55" i="13"/>
  <c r="S55" i="13" s="1"/>
  <c r="M24" i="13"/>
  <c r="S24" i="13" s="1"/>
  <c r="M15" i="14"/>
  <c r="S15" i="14" s="1"/>
  <c r="M48" i="13"/>
  <c r="S48" i="13" s="1"/>
  <c r="M23" i="13"/>
  <c r="S23" i="13" s="1"/>
  <c r="M56" i="12"/>
  <c r="S56" i="12" s="1"/>
  <c r="M38" i="12"/>
  <c r="M54" i="13"/>
  <c r="S54" i="13" s="1"/>
  <c r="M44" i="13"/>
  <c r="S44" i="13" s="1"/>
  <c r="M17" i="13"/>
  <c r="S17" i="13" s="1"/>
  <c r="M47" i="12"/>
  <c r="S47" i="12" s="1"/>
  <c r="M46" i="12"/>
  <c r="M34" i="12"/>
  <c r="M26" i="12"/>
  <c r="S26" i="12" s="1"/>
  <c r="M14" i="12"/>
  <c r="S14" i="12" s="1"/>
  <c r="M54" i="11"/>
  <c r="S54" i="11" s="1"/>
  <c r="M40" i="15"/>
  <c r="S40" i="15" s="1"/>
  <c r="M47" i="13"/>
  <c r="S47" i="13" s="1"/>
  <c r="M10" i="13"/>
  <c r="M52" i="12"/>
  <c r="S52" i="12" s="1"/>
  <c r="M44" i="12"/>
  <c r="S44" i="12" s="1"/>
  <c r="M41" i="16"/>
  <c r="S41" i="16" s="1"/>
  <c r="M54" i="14"/>
  <c r="S54" i="14" s="1"/>
  <c r="M11" i="13"/>
  <c r="S11" i="13" s="1"/>
  <c r="M43" i="12"/>
  <c r="S43" i="12" s="1"/>
  <c r="M42" i="12"/>
  <c r="S42" i="12" s="1"/>
  <c r="M41" i="12"/>
  <c r="S41" i="12" s="1"/>
  <c r="M29" i="12"/>
  <c r="S29" i="12" s="1"/>
  <c r="M24" i="12"/>
  <c r="S24" i="12" s="1"/>
  <c r="M23" i="12"/>
  <c r="S23" i="12" s="1"/>
  <c r="M51" i="11"/>
  <c r="M47" i="11"/>
  <c r="S47" i="11" s="1"/>
  <c r="M49" i="13"/>
  <c r="S49" i="13" s="1"/>
  <c r="M53" i="12"/>
  <c r="S53" i="12" s="1"/>
  <c r="M28" i="12"/>
  <c r="M22" i="12"/>
  <c r="S22" i="12" s="1"/>
  <c r="M12" i="12"/>
  <c r="S12" i="12" s="1"/>
  <c r="M11" i="12"/>
  <c r="S11" i="12" s="1"/>
  <c r="M58" i="11"/>
  <c r="S58" i="11" s="1"/>
  <c r="M44" i="11"/>
  <c r="S44" i="11" s="1"/>
  <c r="M16" i="14"/>
  <c r="S16" i="14" s="1"/>
  <c r="M35" i="12"/>
  <c r="S35" i="12" s="1"/>
  <c r="M20" i="12"/>
  <c r="S20" i="12" s="1"/>
  <c r="M56" i="11"/>
  <c r="S56" i="11" s="1"/>
  <c r="M52" i="11"/>
  <c r="S52" i="11" s="1"/>
  <c r="M38" i="11"/>
  <c r="M48" i="12"/>
  <c r="S48" i="12" s="1"/>
  <c r="M30" i="12"/>
  <c r="S30" i="12" s="1"/>
  <c r="M60" i="11"/>
  <c r="M49" i="11"/>
  <c r="S49" i="11" s="1"/>
  <c r="M30" i="11"/>
  <c r="S30" i="11" s="1"/>
  <c r="M26" i="11"/>
  <c r="S26" i="11" s="1"/>
  <c r="M39" i="12"/>
  <c r="S39" i="12" s="1"/>
  <c r="M21" i="12"/>
  <c r="S21" i="12" s="1"/>
  <c r="M15" i="12"/>
  <c r="S15" i="12" s="1"/>
  <c r="M29" i="11"/>
  <c r="S29" i="11" s="1"/>
  <c r="M28" i="11"/>
  <c r="M36" i="15"/>
  <c r="S36" i="15" s="1"/>
  <c r="M53" i="13"/>
  <c r="S53" i="13" s="1"/>
  <c r="M57" i="11"/>
  <c r="S57" i="11" s="1"/>
  <c r="M53" i="11"/>
  <c r="S53" i="11" s="1"/>
  <c r="M46" i="11"/>
  <c r="M52" i="13"/>
  <c r="S52" i="13" s="1"/>
  <c r="M36" i="12"/>
  <c r="S36" i="12" s="1"/>
  <c r="M31" i="12"/>
  <c r="S31" i="12" s="1"/>
  <c r="M25" i="12"/>
  <c r="S25" i="12" s="1"/>
  <c r="M36" i="11"/>
  <c r="S36" i="11" s="1"/>
  <c r="M25" i="11"/>
  <c r="S25" i="11" s="1"/>
  <c r="M24" i="11"/>
  <c r="S24" i="11" s="1"/>
  <c r="M17" i="11"/>
  <c r="S17" i="11" s="1"/>
  <c r="M10" i="11"/>
  <c r="M58" i="10"/>
  <c r="S58" i="10" s="1"/>
  <c r="M51" i="10"/>
  <c r="M47" i="10"/>
  <c r="S47" i="10" s="1"/>
  <c r="M16" i="13"/>
  <c r="S16" i="13" s="1"/>
  <c r="M49" i="12"/>
  <c r="S49" i="12" s="1"/>
  <c r="M19" i="12"/>
  <c r="M16" i="12"/>
  <c r="S16" i="12" s="1"/>
  <c r="M43" i="11"/>
  <c r="S43" i="11" s="1"/>
  <c r="M42" i="11"/>
  <c r="S42" i="11" s="1"/>
  <c r="M41" i="11"/>
  <c r="S41" i="11" s="1"/>
  <c r="M40" i="11"/>
  <c r="S40" i="11" s="1"/>
  <c r="M35" i="11"/>
  <c r="S35" i="11" s="1"/>
  <c r="M23" i="11"/>
  <c r="S23" i="11" s="1"/>
  <c r="M10" i="12"/>
  <c r="M34" i="11"/>
  <c r="M57" i="10"/>
  <c r="S57" i="10" s="1"/>
  <c r="M56" i="10"/>
  <c r="S56" i="10" s="1"/>
  <c r="M15" i="10"/>
  <c r="S15" i="10" s="1"/>
  <c r="M14" i="10"/>
  <c r="S14" i="10" s="1"/>
  <c r="M46" i="9"/>
  <c r="S46" i="9" s="1"/>
  <c r="M38" i="9"/>
  <c r="M32" i="9"/>
  <c r="S32" i="9" s="1"/>
  <c r="M31" i="9"/>
  <c r="S31" i="9" s="1"/>
  <c r="M21" i="9"/>
  <c r="S21" i="9" s="1"/>
  <c r="M16" i="9"/>
  <c r="S16" i="9" s="1"/>
  <c r="M15" i="9"/>
  <c r="S15" i="9" s="1"/>
  <c r="M51" i="8"/>
  <c r="M55" i="11"/>
  <c r="S55" i="11" s="1"/>
  <c r="M31" i="11"/>
  <c r="S31" i="11" s="1"/>
  <c r="M22" i="11"/>
  <c r="S22" i="11" s="1"/>
  <c r="M11" i="11"/>
  <c r="S11" i="11" s="1"/>
  <c r="M40" i="10"/>
  <c r="S40" i="10" s="1"/>
  <c r="M23" i="10"/>
  <c r="S23" i="10" s="1"/>
  <c r="M22" i="10"/>
  <c r="S22" i="10" s="1"/>
  <c r="M13" i="10"/>
  <c r="S13" i="10" s="1"/>
  <c r="M56" i="9"/>
  <c r="S56" i="9" s="1"/>
  <c r="M42" i="9"/>
  <c r="S42" i="9" s="1"/>
  <c r="M34" i="9"/>
  <c r="M20" i="9"/>
  <c r="S20" i="9" s="1"/>
  <c r="M19" i="9"/>
  <c r="M32" i="12"/>
  <c r="S32" i="12" s="1"/>
  <c r="M20" i="11"/>
  <c r="S20" i="11" s="1"/>
  <c r="M12" i="11"/>
  <c r="S12" i="11" s="1"/>
  <c r="M39" i="10"/>
  <c r="S39" i="10" s="1"/>
  <c r="M38" i="10"/>
  <c r="M36" i="10"/>
  <c r="S36" i="10" s="1"/>
  <c r="M21" i="10"/>
  <c r="S21" i="10" s="1"/>
  <c r="M55" i="9"/>
  <c r="S55" i="9" s="1"/>
  <c r="M30" i="9"/>
  <c r="S30" i="9" s="1"/>
  <c r="M14" i="9"/>
  <c r="S14" i="9" s="1"/>
  <c r="M25" i="8"/>
  <c r="S25" i="8" s="1"/>
  <c r="M24" i="8"/>
  <c r="S24" i="8" s="1"/>
  <c r="M15" i="8"/>
  <c r="S15" i="8" s="1"/>
  <c r="M40" i="12"/>
  <c r="S40" i="12" s="1"/>
  <c r="M13" i="12"/>
  <c r="S13" i="12" s="1"/>
  <c r="M53" i="10"/>
  <c r="S53" i="10" s="1"/>
  <c r="M46" i="10"/>
  <c r="M31" i="10"/>
  <c r="S31" i="10" s="1"/>
  <c r="M30" i="10"/>
  <c r="S30" i="10" s="1"/>
  <c r="M26" i="10"/>
  <c r="S26" i="10" s="1"/>
  <c r="M20" i="10"/>
  <c r="S20" i="10" s="1"/>
  <c r="M17" i="10"/>
  <c r="S17" i="10" s="1"/>
  <c r="M11" i="10"/>
  <c r="S11" i="10" s="1"/>
  <c r="M10" i="10"/>
  <c r="M53" i="9"/>
  <c r="S53" i="9" s="1"/>
  <c r="M49" i="9"/>
  <c r="S49" i="9" s="1"/>
  <c r="M21" i="11"/>
  <c r="S21" i="11" s="1"/>
  <c r="M14" i="11"/>
  <c r="S14" i="11" s="1"/>
  <c r="M60" i="10"/>
  <c r="M54" i="10"/>
  <c r="S54" i="10" s="1"/>
  <c r="M48" i="10"/>
  <c r="S48" i="10" s="1"/>
  <c r="M44" i="10"/>
  <c r="S44" i="10" s="1"/>
  <c r="M29" i="10"/>
  <c r="S29" i="10" s="1"/>
  <c r="M25" i="10"/>
  <c r="S25" i="10" s="1"/>
  <c r="M19" i="10"/>
  <c r="M58" i="9"/>
  <c r="S58" i="9" s="1"/>
  <c r="M48" i="9"/>
  <c r="M40" i="9"/>
  <c r="S40" i="9" s="1"/>
  <c r="M25" i="9"/>
  <c r="S25" i="9" s="1"/>
  <c r="M24" i="9"/>
  <c r="S24" i="9" s="1"/>
  <c r="M11" i="9"/>
  <c r="S11" i="9" s="1"/>
  <c r="M58" i="8"/>
  <c r="S58" i="8" s="1"/>
  <c r="M57" i="8"/>
  <c r="S57" i="8" s="1"/>
  <c r="M56" i="8"/>
  <c r="S56" i="8" s="1"/>
  <c r="M47" i="8"/>
  <c r="S47" i="8" s="1"/>
  <c r="M46" i="8"/>
  <c r="M39" i="8"/>
  <c r="S39" i="8" s="1"/>
  <c r="M35" i="8"/>
  <c r="S35" i="8" s="1"/>
  <c r="M32" i="8"/>
  <c r="S32" i="8" s="1"/>
  <c r="M60" i="9"/>
  <c r="M23" i="9"/>
  <c r="S23" i="9" s="1"/>
  <c r="M54" i="8"/>
  <c r="S54" i="8" s="1"/>
  <c r="M52" i="8"/>
  <c r="S52" i="8" s="1"/>
  <c r="M48" i="8"/>
  <c r="S48" i="8" s="1"/>
  <c r="M44" i="8"/>
  <c r="S44" i="8" s="1"/>
  <c r="M58" i="7"/>
  <c r="S58" i="7" s="1"/>
  <c r="M57" i="7"/>
  <c r="S57" i="7" s="1"/>
  <c r="M39" i="7"/>
  <c r="S39" i="7" s="1"/>
  <c r="M38" i="7"/>
  <c r="M29" i="7"/>
  <c r="S29" i="7" s="1"/>
  <c r="M26" i="7"/>
  <c r="S26" i="7" s="1"/>
  <c r="M21" i="7"/>
  <c r="S21" i="7" s="1"/>
  <c r="M20" i="7"/>
  <c r="S20" i="7" s="1"/>
  <c r="M13" i="7"/>
  <c r="S13" i="7" s="1"/>
  <c r="M53" i="6"/>
  <c r="S53" i="6" s="1"/>
  <c r="M32" i="11"/>
  <c r="S32" i="11" s="1"/>
  <c r="M41" i="10"/>
  <c r="S41" i="10" s="1"/>
  <c r="M28" i="10"/>
  <c r="M12" i="10"/>
  <c r="S12" i="10" s="1"/>
  <c r="M51" i="9"/>
  <c r="M28" i="9"/>
  <c r="M42" i="8"/>
  <c r="S42" i="8" s="1"/>
  <c r="M40" i="8"/>
  <c r="S40" i="8" s="1"/>
  <c r="M22" i="8"/>
  <c r="S22" i="8" s="1"/>
  <c r="M13" i="8"/>
  <c r="S13" i="8" s="1"/>
  <c r="M12" i="8"/>
  <c r="S12" i="8" s="1"/>
  <c r="M56" i="7"/>
  <c r="S56" i="7" s="1"/>
  <c r="M54" i="7"/>
  <c r="S54" i="7" s="1"/>
  <c r="M53" i="7"/>
  <c r="S53" i="7" s="1"/>
  <c r="M48" i="7"/>
  <c r="S48" i="7" s="1"/>
  <c r="M47" i="7"/>
  <c r="S47" i="7" s="1"/>
  <c r="M44" i="7"/>
  <c r="S44" i="7" s="1"/>
  <c r="M36" i="7"/>
  <c r="S36" i="7" s="1"/>
  <c r="M28" i="7"/>
  <c r="M25" i="7"/>
  <c r="S25" i="7" s="1"/>
  <c r="M12" i="7"/>
  <c r="S12" i="7" s="1"/>
  <c r="M11" i="7"/>
  <c r="S11" i="7" s="1"/>
  <c r="M52" i="6"/>
  <c r="S52" i="6" s="1"/>
  <c r="M48" i="6"/>
  <c r="S48" i="6" s="1"/>
  <c r="M39" i="6"/>
  <c r="S39" i="6" s="1"/>
  <c r="M15" i="11"/>
  <c r="S15" i="11" s="1"/>
  <c r="M43" i="10"/>
  <c r="S43" i="10" s="1"/>
  <c r="M34" i="10"/>
  <c r="M44" i="9"/>
  <c r="S44" i="9" s="1"/>
  <c r="M26" i="9"/>
  <c r="S26" i="9" s="1"/>
  <c r="M12" i="9"/>
  <c r="S12" i="9" s="1"/>
  <c r="M38" i="8"/>
  <c r="M31" i="8"/>
  <c r="S31" i="8" s="1"/>
  <c r="M29" i="8"/>
  <c r="S29" i="8" s="1"/>
  <c r="M19" i="8"/>
  <c r="S19" i="8" s="1"/>
  <c r="M14" i="8"/>
  <c r="S14" i="8" s="1"/>
  <c r="M11" i="8"/>
  <c r="S11" i="8" s="1"/>
  <c r="M10" i="8"/>
  <c r="M55" i="7"/>
  <c r="S55" i="7" s="1"/>
  <c r="M52" i="7"/>
  <c r="S52" i="7" s="1"/>
  <c r="M51" i="7"/>
  <c r="M46" i="7"/>
  <c r="M24" i="7"/>
  <c r="S24" i="7" s="1"/>
  <c r="M19" i="7"/>
  <c r="M17" i="7"/>
  <c r="S17" i="7" s="1"/>
  <c r="M58" i="6"/>
  <c r="S58" i="6" s="1"/>
  <c r="M47" i="6"/>
  <c r="S47" i="6" s="1"/>
  <c r="M44" i="6"/>
  <c r="S44" i="6" s="1"/>
  <c r="M38" i="6"/>
  <c r="M35" i="6"/>
  <c r="S35" i="6" s="1"/>
  <c r="M39" i="11"/>
  <c r="S39" i="11" s="1"/>
  <c r="M39" i="9"/>
  <c r="S39" i="9" s="1"/>
  <c r="M17" i="9"/>
  <c r="S17" i="9" s="1"/>
  <c r="M60" i="8"/>
  <c r="M53" i="8"/>
  <c r="S53" i="8" s="1"/>
  <c r="M49" i="8"/>
  <c r="S49" i="8" s="1"/>
  <c r="M34" i="8"/>
  <c r="M23" i="8"/>
  <c r="S23" i="8" s="1"/>
  <c r="M42" i="7"/>
  <c r="S42" i="7" s="1"/>
  <c r="M41" i="7"/>
  <c r="S41" i="7" s="1"/>
  <c r="M35" i="7"/>
  <c r="S35" i="7" s="1"/>
  <c r="M34" i="7"/>
  <c r="M32" i="7"/>
  <c r="S32" i="7" s="1"/>
  <c r="M10" i="7"/>
  <c r="M57" i="6"/>
  <c r="S57" i="6" s="1"/>
  <c r="M46" i="6"/>
  <c r="M43" i="6"/>
  <c r="S43" i="6" s="1"/>
  <c r="M24" i="6"/>
  <c r="S24" i="6" s="1"/>
  <c r="M52" i="10"/>
  <c r="S52" i="10" s="1"/>
  <c r="M42" i="10"/>
  <c r="S42" i="10" s="1"/>
  <c r="M57" i="9"/>
  <c r="S57" i="9" s="1"/>
  <c r="M41" i="9"/>
  <c r="S41" i="9" s="1"/>
  <c r="M29" i="9"/>
  <c r="S29" i="9" s="1"/>
  <c r="M22" i="9"/>
  <c r="S22" i="9" s="1"/>
  <c r="M43" i="8"/>
  <c r="S43" i="8" s="1"/>
  <c r="M41" i="8"/>
  <c r="S41" i="8" s="1"/>
  <c r="M26" i="8"/>
  <c r="S26" i="8" s="1"/>
  <c r="M17" i="8"/>
  <c r="S17" i="8" s="1"/>
  <c r="M31" i="7"/>
  <c r="S31" i="7" s="1"/>
  <c r="M15" i="7"/>
  <c r="S15" i="7" s="1"/>
  <c r="M19" i="11"/>
  <c r="M13" i="9"/>
  <c r="S13" i="9" s="1"/>
  <c r="M43" i="7"/>
  <c r="S43" i="7" s="1"/>
  <c r="M30" i="7"/>
  <c r="S30" i="7" s="1"/>
  <c r="M54" i="6"/>
  <c r="S54" i="6" s="1"/>
  <c r="M41" i="6"/>
  <c r="S41" i="6" s="1"/>
  <c r="M34" i="6"/>
  <c r="M15" i="6"/>
  <c r="S15" i="6" s="1"/>
  <c r="M13" i="11"/>
  <c r="S13" i="11" s="1"/>
  <c r="M16" i="8"/>
  <c r="S16" i="8" s="1"/>
  <c r="M30" i="6"/>
  <c r="S30" i="6" s="1"/>
  <c r="M23" i="6"/>
  <c r="S23" i="6" s="1"/>
  <c r="M14" i="6"/>
  <c r="S14" i="6" s="1"/>
  <c r="M10" i="6"/>
  <c r="M32" i="10"/>
  <c r="S32" i="10" s="1"/>
  <c r="M30" i="8"/>
  <c r="S30" i="8" s="1"/>
  <c r="M49" i="7"/>
  <c r="S49" i="7" s="1"/>
  <c r="M40" i="7"/>
  <c r="S40" i="7" s="1"/>
  <c r="M23" i="7"/>
  <c r="S23" i="7" s="1"/>
  <c r="M49" i="6"/>
  <c r="S49" i="6" s="1"/>
  <c r="M42" i="6"/>
  <c r="S42" i="6" s="1"/>
  <c r="M26" i="6"/>
  <c r="S26" i="6" s="1"/>
  <c r="M25" i="6"/>
  <c r="S25" i="6" s="1"/>
  <c r="M22" i="6"/>
  <c r="S22" i="6" s="1"/>
  <c r="M44" i="5"/>
  <c r="S44" i="5" s="1"/>
  <c r="M43" i="5"/>
  <c r="S43" i="5" s="1"/>
  <c r="M55" i="10"/>
  <c r="S55" i="10" s="1"/>
  <c r="M16" i="10"/>
  <c r="S16" i="10" s="1"/>
  <c r="M36" i="9"/>
  <c r="S36" i="9" s="1"/>
  <c r="M21" i="8"/>
  <c r="M60" i="7"/>
  <c r="M55" i="6"/>
  <c r="S55" i="6" s="1"/>
  <c r="M31" i="6"/>
  <c r="S31" i="6" s="1"/>
  <c r="M21" i="6"/>
  <c r="S21" i="6" s="1"/>
  <c r="M49" i="10"/>
  <c r="S49" i="10" s="1"/>
  <c r="M35" i="10"/>
  <c r="S35" i="10" s="1"/>
  <c r="M54" i="9"/>
  <c r="S54" i="9" s="1"/>
  <c r="M35" i="9"/>
  <c r="S35" i="9" s="1"/>
  <c r="M36" i="8"/>
  <c r="S36" i="8" s="1"/>
  <c r="M28" i="8"/>
  <c r="M14" i="7"/>
  <c r="S14" i="7" s="1"/>
  <c r="M32" i="6"/>
  <c r="S32" i="6" s="1"/>
  <c r="M13" i="6"/>
  <c r="S13" i="6" s="1"/>
  <c r="M49" i="5"/>
  <c r="S49" i="5" s="1"/>
  <c r="M48" i="5"/>
  <c r="M47" i="5"/>
  <c r="S47" i="5" s="1"/>
  <c r="M41" i="5"/>
  <c r="S41" i="5" s="1"/>
  <c r="M10" i="9"/>
  <c r="M20" i="8"/>
  <c r="S20" i="8" s="1"/>
  <c r="M16" i="7"/>
  <c r="S16" i="7" s="1"/>
  <c r="M36" i="6"/>
  <c r="S36" i="6" s="1"/>
  <c r="M20" i="6"/>
  <c r="S20" i="6" s="1"/>
  <c r="M17" i="6"/>
  <c r="S17" i="6" s="1"/>
  <c r="M46" i="5"/>
  <c r="S46" i="5" s="1"/>
  <c r="M48" i="11"/>
  <c r="S48" i="11" s="1"/>
  <c r="M16" i="11"/>
  <c r="S16" i="11" s="1"/>
  <c r="M24" i="10"/>
  <c r="S24" i="10" s="1"/>
  <c r="M47" i="9"/>
  <c r="S47" i="9" s="1"/>
  <c r="M55" i="8"/>
  <c r="S55" i="8" s="1"/>
  <c r="M19" i="6"/>
  <c r="M12" i="6"/>
  <c r="S12" i="6" s="1"/>
  <c r="M55" i="5"/>
  <c r="S55" i="5" s="1"/>
  <c r="M34" i="5"/>
  <c r="M26" i="5"/>
  <c r="S26" i="5" s="1"/>
  <c r="M11" i="5"/>
  <c r="S11" i="5" s="1"/>
  <c r="M60" i="4"/>
  <c r="M58" i="4"/>
  <c r="S58" i="4" s="1"/>
  <c r="M52" i="4"/>
  <c r="S52" i="4" s="1"/>
  <c r="M51" i="4"/>
  <c r="M48" i="4"/>
  <c r="S48" i="4" s="1"/>
  <c r="M47" i="4"/>
  <c r="S47" i="4" s="1"/>
  <c r="M46" i="4"/>
  <c r="M41" i="4"/>
  <c r="S41" i="4" s="1"/>
  <c r="M24" i="4"/>
  <c r="S24" i="4" s="1"/>
  <c r="M23" i="4"/>
  <c r="S23" i="4" s="1"/>
  <c r="M22" i="4"/>
  <c r="S22" i="4" s="1"/>
  <c r="M12" i="4"/>
  <c r="S12" i="4" s="1"/>
  <c r="M11" i="4"/>
  <c r="S11" i="4" s="1"/>
  <c r="M10" i="4"/>
  <c r="M32" i="5"/>
  <c r="S32" i="5" s="1"/>
  <c r="M43" i="4"/>
  <c r="S43" i="4" s="1"/>
  <c r="M52" i="9"/>
  <c r="S52" i="9" s="1"/>
  <c r="M56" i="6"/>
  <c r="S56" i="6" s="1"/>
  <c r="M40" i="5"/>
  <c r="S40" i="5" s="1"/>
  <c r="M39" i="5"/>
  <c r="S39" i="5" s="1"/>
  <c r="M30" i="5"/>
  <c r="S30" i="5" s="1"/>
  <c r="M25" i="5"/>
  <c r="S25" i="5" s="1"/>
  <c r="M24" i="5"/>
  <c r="S24" i="5" s="1"/>
  <c r="M40" i="4"/>
  <c r="S40" i="4" s="1"/>
  <c r="M36" i="4"/>
  <c r="S36" i="4" s="1"/>
  <c r="M35" i="5"/>
  <c r="S35" i="5" s="1"/>
  <c r="M19" i="5"/>
  <c r="M42" i="4"/>
  <c r="S42" i="4" s="1"/>
  <c r="M25" i="4"/>
  <c r="S25" i="4" s="1"/>
  <c r="M17" i="12"/>
  <c r="S17" i="12" s="1"/>
  <c r="M60" i="6"/>
  <c r="M29" i="6"/>
  <c r="S29" i="6" s="1"/>
  <c r="M16" i="6"/>
  <c r="S16" i="6" s="1"/>
  <c r="M52" i="5"/>
  <c r="S52" i="5" s="1"/>
  <c r="M38" i="5"/>
  <c r="M29" i="5"/>
  <c r="S29" i="5" s="1"/>
  <c r="M28" i="5"/>
  <c r="M23" i="5"/>
  <c r="S23" i="5" s="1"/>
  <c r="M10" i="5"/>
  <c r="S10" i="5" s="1"/>
  <c r="M57" i="4"/>
  <c r="S57" i="4" s="1"/>
  <c r="M56" i="4"/>
  <c r="S56" i="4" s="1"/>
  <c r="M39" i="4"/>
  <c r="S39" i="4" s="1"/>
  <c r="M35" i="4"/>
  <c r="S35" i="4" s="1"/>
  <c r="M32" i="4"/>
  <c r="M21" i="4"/>
  <c r="S21" i="4" s="1"/>
  <c r="M17" i="4"/>
  <c r="S17" i="4" s="1"/>
  <c r="M53" i="4"/>
  <c r="S53" i="4" s="1"/>
  <c r="M22" i="7"/>
  <c r="S22" i="7" s="1"/>
  <c r="M28" i="6"/>
  <c r="M57" i="5"/>
  <c r="S57" i="5" s="1"/>
  <c r="M17" i="5"/>
  <c r="S17" i="5" s="1"/>
  <c r="M16" i="5"/>
  <c r="S16" i="5" s="1"/>
  <c r="M38" i="4"/>
  <c r="M34" i="4"/>
  <c r="M31" i="4"/>
  <c r="S31" i="4" s="1"/>
  <c r="M20" i="4"/>
  <c r="S20" i="4" s="1"/>
  <c r="M16" i="4"/>
  <c r="S16" i="4" s="1"/>
  <c r="M44" i="4"/>
  <c r="S44" i="4" s="1"/>
  <c r="M11" i="6"/>
  <c r="S11" i="6" s="1"/>
  <c r="M54" i="5"/>
  <c r="S54" i="5" s="1"/>
  <c r="M42" i="5"/>
  <c r="S42" i="5" s="1"/>
  <c r="M22" i="5"/>
  <c r="S22" i="5" s="1"/>
  <c r="M15" i="5"/>
  <c r="S15" i="5" s="1"/>
  <c r="M55" i="4"/>
  <c r="S55" i="4" s="1"/>
  <c r="M30" i="4"/>
  <c r="S30" i="4" s="1"/>
  <c r="M19" i="4"/>
  <c r="M15" i="4"/>
  <c r="S15" i="4" s="1"/>
  <c r="M49" i="4"/>
  <c r="S49" i="4" s="1"/>
  <c r="M43" i="9"/>
  <c r="S43" i="9" s="1"/>
  <c r="M40" i="6"/>
  <c r="S40" i="6" s="1"/>
  <c r="M56" i="5"/>
  <c r="S56" i="5" s="1"/>
  <c r="M51" i="5"/>
  <c r="M21" i="5"/>
  <c r="S21" i="5" s="1"/>
  <c r="M20" i="5"/>
  <c r="S20" i="5" s="1"/>
  <c r="M54" i="4"/>
  <c r="S54" i="4" s="1"/>
  <c r="M29" i="4"/>
  <c r="S29" i="4" s="1"/>
  <c r="M26" i="4"/>
  <c r="S26" i="4" s="1"/>
  <c r="M14" i="4"/>
  <c r="S14" i="4" s="1"/>
  <c r="M36" i="5"/>
  <c r="S36" i="5" s="1"/>
  <c r="M14" i="5"/>
  <c r="S14" i="5" s="1"/>
  <c r="M13" i="4"/>
  <c r="S13" i="4" s="1"/>
  <c r="M12" i="5"/>
  <c r="M51" i="6"/>
  <c r="M53" i="5"/>
  <c r="S53" i="5" s="1"/>
  <c r="M58" i="5"/>
  <c r="S58" i="5" s="1"/>
  <c r="M60" i="5"/>
  <c r="M31" i="5"/>
  <c r="S31" i="5" s="1"/>
  <c r="M28" i="4"/>
  <c r="S28" i="4" s="1"/>
  <c r="M13" i="5"/>
  <c r="S13" i="5" s="1"/>
  <c r="I59" i="16"/>
  <c r="O60" i="16"/>
  <c r="L42" i="16"/>
  <c r="R42" i="16" s="1"/>
  <c r="L41" i="16"/>
  <c r="R41" i="16" s="1"/>
  <c r="L55" i="16"/>
  <c r="R55" i="16" s="1"/>
  <c r="L36" i="16"/>
  <c r="R36" i="16" s="1"/>
  <c r="L35" i="16"/>
  <c r="R35" i="16" s="1"/>
  <c r="L32" i="16"/>
  <c r="R32" i="16" s="1"/>
  <c r="L54" i="16"/>
  <c r="R54" i="16" s="1"/>
  <c r="L40" i="16"/>
  <c r="R40" i="16" s="1"/>
  <c r="L39" i="16"/>
  <c r="R39" i="16" s="1"/>
  <c r="L34" i="16"/>
  <c r="L31" i="16"/>
  <c r="R31" i="16" s="1"/>
  <c r="L30" i="16"/>
  <c r="R30" i="16" s="1"/>
  <c r="L26" i="16"/>
  <c r="R26" i="16" s="1"/>
  <c r="L10" i="16"/>
  <c r="L60" i="15"/>
  <c r="L53" i="16"/>
  <c r="R53" i="16" s="1"/>
  <c r="L49" i="16"/>
  <c r="R49" i="16" s="1"/>
  <c r="L38" i="16"/>
  <c r="L28" i="16"/>
  <c r="L58" i="15"/>
  <c r="R58" i="15" s="1"/>
  <c r="L41" i="15"/>
  <c r="R41" i="15" s="1"/>
  <c r="L52" i="16"/>
  <c r="R52" i="16" s="1"/>
  <c r="L48" i="16"/>
  <c r="R48" i="16" s="1"/>
  <c r="L29" i="16"/>
  <c r="R29" i="16" s="1"/>
  <c r="L25" i="16"/>
  <c r="R25" i="16" s="1"/>
  <c r="L24" i="16"/>
  <c r="R24" i="16" s="1"/>
  <c r="L39" i="15"/>
  <c r="R39" i="15" s="1"/>
  <c r="L36" i="15"/>
  <c r="R36" i="15" s="1"/>
  <c r="L60" i="16"/>
  <c r="L58" i="16"/>
  <c r="R58" i="16" s="1"/>
  <c r="L57" i="16"/>
  <c r="R57" i="16" s="1"/>
  <c r="L44" i="16"/>
  <c r="R44" i="16" s="1"/>
  <c r="L23" i="16"/>
  <c r="R23" i="16" s="1"/>
  <c r="L21" i="16"/>
  <c r="R21" i="16" s="1"/>
  <c r="L17" i="16"/>
  <c r="R17" i="16" s="1"/>
  <c r="L57" i="15"/>
  <c r="R57" i="15" s="1"/>
  <c r="L56" i="15"/>
  <c r="R56" i="15" s="1"/>
  <c r="L51" i="16"/>
  <c r="L47" i="16"/>
  <c r="R47" i="16" s="1"/>
  <c r="L46" i="16"/>
  <c r="L22" i="16"/>
  <c r="R22" i="16" s="1"/>
  <c r="L16" i="16"/>
  <c r="R16" i="16" s="1"/>
  <c r="L15" i="16"/>
  <c r="R15" i="16" s="1"/>
  <c r="L14" i="16"/>
  <c r="R14" i="16" s="1"/>
  <c r="L55" i="15"/>
  <c r="R55" i="15" s="1"/>
  <c r="L49" i="15"/>
  <c r="R49" i="15" s="1"/>
  <c r="L38" i="15"/>
  <c r="L35" i="15"/>
  <c r="R35" i="15" s="1"/>
  <c r="L29" i="15"/>
  <c r="R29" i="15" s="1"/>
  <c r="L26" i="15"/>
  <c r="R26" i="15" s="1"/>
  <c r="L25" i="15"/>
  <c r="R25" i="15" s="1"/>
  <c r="L56" i="16"/>
  <c r="R56" i="16" s="1"/>
  <c r="L20" i="16"/>
  <c r="R20" i="16" s="1"/>
  <c r="L40" i="15"/>
  <c r="R40" i="15" s="1"/>
  <c r="L30" i="15"/>
  <c r="R30" i="15" s="1"/>
  <c r="L21" i="15"/>
  <c r="R21" i="15" s="1"/>
  <c r="L20" i="15"/>
  <c r="R20" i="15" s="1"/>
  <c r="L54" i="14"/>
  <c r="R54" i="14" s="1"/>
  <c r="L53" i="14"/>
  <c r="R53" i="14" s="1"/>
  <c r="L52" i="14"/>
  <c r="R52" i="14" s="1"/>
  <c r="L47" i="14"/>
  <c r="R47" i="14" s="1"/>
  <c r="L46" i="14"/>
  <c r="L43" i="14"/>
  <c r="R43" i="14" s="1"/>
  <c r="L22" i="14"/>
  <c r="R22" i="14" s="1"/>
  <c r="L19" i="16"/>
  <c r="L12" i="16"/>
  <c r="R12" i="16" s="1"/>
  <c r="L51" i="15"/>
  <c r="L47" i="15"/>
  <c r="R47" i="15" s="1"/>
  <c r="L15" i="15"/>
  <c r="R15" i="15" s="1"/>
  <c r="L51" i="14"/>
  <c r="L42" i="14"/>
  <c r="R42" i="14" s="1"/>
  <c r="L32" i="14"/>
  <c r="R32" i="14" s="1"/>
  <c r="L31" i="14"/>
  <c r="R31" i="14" s="1"/>
  <c r="L43" i="15"/>
  <c r="R43" i="15" s="1"/>
  <c r="L34" i="15"/>
  <c r="L31" i="15"/>
  <c r="R31" i="15" s="1"/>
  <c r="L28" i="15"/>
  <c r="L19" i="15"/>
  <c r="L60" i="14"/>
  <c r="L36" i="14"/>
  <c r="L35" i="14"/>
  <c r="R35" i="14" s="1"/>
  <c r="L54" i="15"/>
  <c r="R54" i="15" s="1"/>
  <c r="L14" i="15"/>
  <c r="R14" i="15" s="1"/>
  <c r="L13" i="15"/>
  <c r="R13" i="15" s="1"/>
  <c r="L58" i="14"/>
  <c r="R58" i="14" s="1"/>
  <c r="L41" i="14"/>
  <c r="R41" i="14" s="1"/>
  <c r="L40" i="14"/>
  <c r="R40" i="14" s="1"/>
  <c r="L39" i="14"/>
  <c r="R39" i="14" s="1"/>
  <c r="L30" i="14"/>
  <c r="R30" i="14" s="1"/>
  <c r="L52" i="15"/>
  <c r="R52" i="15" s="1"/>
  <c r="L48" i="15"/>
  <c r="R48" i="15" s="1"/>
  <c r="L12" i="15"/>
  <c r="R12" i="15" s="1"/>
  <c r="L34" i="14"/>
  <c r="R34" i="14" s="1"/>
  <c r="L29" i="14"/>
  <c r="R29" i="14" s="1"/>
  <c r="L26" i="14"/>
  <c r="R26" i="14" s="1"/>
  <c r="L43" i="16"/>
  <c r="R43" i="16" s="1"/>
  <c r="L46" i="15"/>
  <c r="L44" i="15"/>
  <c r="R44" i="15" s="1"/>
  <c r="L24" i="15"/>
  <c r="R24" i="15" s="1"/>
  <c r="L11" i="15"/>
  <c r="R11" i="15" s="1"/>
  <c r="L57" i="14"/>
  <c r="R57" i="14" s="1"/>
  <c r="L38" i="14"/>
  <c r="L28" i="14"/>
  <c r="L25" i="14"/>
  <c r="R25" i="14" s="1"/>
  <c r="L11" i="16"/>
  <c r="R11" i="16" s="1"/>
  <c r="L42" i="15"/>
  <c r="R42" i="15" s="1"/>
  <c r="L32" i="15"/>
  <c r="R32" i="15" s="1"/>
  <c r="L23" i="15"/>
  <c r="R23" i="15" s="1"/>
  <c r="L10" i="15"/>
  <c r="L56" i="14"/>
  <c r="R56" i="14" s="1"/>
  <c r="L55" i="14"/>
  <c r="R55" i="14" s="1"/>
  <c r="L24" i="14"/>
  <c r="R24" i="14" s="1"/>
  <c r="L16" i="15"/>
  <c r="R16" i="15" s="1"/>
  <c r="L48" i="14"/>
  <c r="R48" i="14" s="1"/>
  <c r="L19" i="14"/>
  <c r="L16" i="14"/>
  <c r="R16" i="14" s="1"/>
  <c r="L15" i="14"/>
  <c r="R15" i="14" s="1"/>
  <c r="L52" i="13"/>
  <c r="R52" i="13" s="1"/>
  <c r="L48" i="13"/>
  <c r="R48" i="13" s="1"/>
  <c r="L47" i="13"/>
  <c r="R47" i="13" s="1"/>
  <c r="L17" i="13"/>
  <c r="R17" i="13" s="1"/>
  <c r="L16" i="13"/>
  <c r="R16" i="13" s="1"/>
  <c r="L10" i="13"/>
  <c r="L53" i="15"/>
  <c r="R53" i="15" s="1"/>
  <c r="L51" i="13"/>
  <c r="L46" i="13"/>
  <c r="L43" i="13"/>
  <c r="R43" i="13" s="1"/>
  <c r="L22" i="13"/>
  <c r="L21" i="13"/>
  <c r="R21" i="13" s="1"/>
  <c r="L20" i="13"/>
  <c r="R20" i="13" s="1"/>
  <c r="L60" i="12"/>
  <c r="L58" i="12"/>
  <c r="R58" i="12" s="1"/>
  <c r="L57" i="12"/>
  <c r="R57" i="12" s="1"/>
  <c r="L51" i="12"/>
  <c r="L17" i="14"/>
  <c r="R17" i="14" s="1"/>
  <c r="L14" i="14"/>
  <c r="R14" i="14" s="1"/>
  <c r="L42" i="13"/>
  <c r="R42" i="13" s="1"/>
  <c r="L41" i="13"/>
  <c r="R41" i="13" s="1"/>
  <c r="L36" i="13"/>
  <c r="R36" i="13" s="1"/>
  <c r="L35" i="13"/>
  <c r="R35" i="13" s="1"/>
  <c r="L32" i="13"/>
  <c r="R32" i="13" s="1"/>
  <c r="L31" i="13"/>
  <c r="R31" i="13" s="1"/>
  <c r="L15" i="13"/>
  <c r="R15" i="13" s="1"/>
  <c r="L13" i="16"/>
  <c r="R13" i="16" s="1"/>
  <c r="L20" i="14"/>
  <c r="R20" i="14" s="1"/>
  <c r="L13" i="14"/>
  <c r="R13" i="14" s="1"/>
  <c r="L60" i="13"/>
  <c r="L40" i="13"/>
  <c r="R40" i="13" s="1"/>
  <c r="L34" i="13"/>
  <c r="L30" i="13"/>
  <c r="R30" i="13" s="1"/>
  <c r="L29" i="13"/>
  <c r="R29" i="13" s="1"/>
  <c r="L19" i="13"/>
  <c r="R19" i="13" s="1"/>
  <c r="L14" i="13"/>
  <c r="R14" i="13" s="1"/>
  <c r="L56" i="12"/>
  <c r="R56" i="12" s="1"/>
  <c r="L23" i="14"/>
  <c r="R23" i="14" s="1"/>
  <c r="L12" i="14"/>
  <c r="R12" i="14" s="1"/>
  <c r="L39" i="13"/>
  <c r="R39" i="13" s="1"/>
  <c r="L28" i="13"/>
  <c r="L26" i="13"/>
  <c r="R26" i="13" s="1"/>
  <c r="L13" i="13"/>
  <c r="R13" i="13" s="1"/>
  <c r="L55" i="12"/>
  <c r="R55" i="12" s="1"/>
  <c r="L11" i="14"/>
  <c r="R11" i="14" s="1"/>
  <c r="L56" i="13"/>
  <c r="R56" i="13" s="1"/>
  <c r="L38" i="13"/>
  <c r="L25" i="13"/>
  <c r="R25" i="13" s="1"/>
  <c r="L17" i="15"/>
  <c r="R17" i="15" s="1"/>
  <c r="L12" i="13"/>
  <c r="R12" i="13" s="1"/>
  <c r="L48" i="12"/>
  <c r="R48" i="12" s="1"/>
  <c r="L39" i="12"/>
  <c r="R39" i="12" s="1"/>
  <c r="L35" i="12"/>
  <c r="R35" i="12" s="1"/>
  <c r="L49" i="14"/>
  <c r="R49" i="14" s="1"/>
  <c r="L58" i="13"/>
  <c r="R58" i="13" s="1"/>
  <c r="L23" i="13"/>
  <c r="R23" i="13" s="1"/>
  <c r="L54" i="12"/>
  <c r="R54" i="12" s="1"/>
  <c r="L38" i="12"/>
  <c r="L20" i="12"/>
  <c r="R20" i="12" s="1"/>
  <c r="L19" i="12"/>
  <c r="L16" i="12"/>
  <c r="R16" i="12" s="1"/>
  <c r="L15" i="12"/>
  <c r="R15" i="12" s="1"/>
  <c r="L54" i="13"/>
  <c r="R54" i="13" s="1"/>
  <c r="L44" i="13"/>
  <c r="R44" i="13" s="1"/>
  <c r="L47" i="12"/>
  <c r="R47" i="12" s="1"/>
  <c r="L46" i="12"/>
  <c r="L34" i="12"/>
  <c r="L53" i="13"/>
  <c r="R53" i="13" s="1"/>
  <c r="L31" i="12"/>
  <c r="R31" i="12" s="1"/>
  <c r="L30" i="12"/>
  <c r="R30" i="12" s="1"/>
  <c r="L25" i="12"/>
  <c r="R25" i="12" s="1"/>
  <c r="L13" i="12"/>
  <c r="R13" i="12" s="1"/>
  <c r="L60" i="11"/>
  <c r="L53" i="11"/>
  <c r="R53" i="11" s="1"/>
  <c r="L52" i="11"/>
  <c r="R52" i="11" s="1"/>
  <c r="L49" i="11"/>
  <c r="R49" i="11" s="1"/>
  <c r="L48" i="11"/>
  <c r="R48" i="11" s="1"/>
  <c r="L11" i="13"/>
  <c r="R11" i="13" s="1"/>
  <c r="L43" i="12"/>
  <c r="R43" i="12" s="1"/>
  <c r="L42" i="12"/>
  <c r="R42" i="12" s="1"/>
  <c r="L41" i="12"/>
  <c r="R41" i="12" s="1"/>
  <c r="L29" i="12"/>
  <c r="R29" i="12" s="1"/>
  <c r="L24" i="12"/>
  <c r="R24" i="12" s="1"/>
  <c r="L23" i="12"/>
  <c r="R23" i="12" s="1"/>
  <c r="L51" i="11"/>
  <c r="L47" i="11"/>
  <c r="R47" i="11" s="1"/>
  <c r="L57" i="13"/>
  <c r="R57" i="13" s="1"/>
  <c r="L17" i="12"/>
  <c r="R17" i="12" s="1"/>
  <c r="L14" i="12"/>
  <c r="R14" i="12" s="1"/>
  <c r="L34" i="11"/>
  <c r="L31" i="11"/>
  <c r="R31" i="11" s="1"/>
  <c r="L21" i="14"/>
  <c r="R21" i="14" s="1"/>
  <c r="L44" i="12"/>
  <c r="R44" i="12" s="1"/>
  <c r="L11" i="12"/>
  <c r="R11" i="12" s="1"/>
  <c r="L56" i="11"/>
  <c r="R56" i="11" s="1"/>
  <c r="L38" i="11"/>
  <c r="L44" i="14"/>
  <c r="R44" i="14" s="1"/>
  <c r="L55" i="13"/>
  <c r="R55" i="13" s="1"/>
  <c r="L49" i="13"/>
  <c r="R49" i="13" s="1"/>
  <c r="L30" i="11"/>
  <c r="R30" i="11" s="1"/>
  <c r="L26" i="11"/>
  <c r="R26" i="11" s="1"/>
  <c r="L12" i="11"/>
  <c r="R12" i="11" s="1"/>
  <c r="L53" i="10"/>
  <c r="R53" i="10" s="1"/>
  <c r="L49" i="10"/>
  <c r="R49" i="10" s="1"/>
  <c r="L24" i="13"/>
  <c r="R24" i="13" s="1"/>
  <c r="L21" i="12"/>
  <c r="R21" i="12" s="1"/>
  <c r="L29" i="11"/>
  <c r="R29" i="11" s="1"/>
  <c r="L28" i="11"/>
  <c r="L22" i="15"/>
  <c r="R22" i="15" s="1"/>
  <c r="L53" i="12"/>
  <c r="R53" i="12" s="1"/>
  <c r="L28" i="12"/>
  <c r="L22" i="12"/>
  <c r="R22" i="12" s="1"/>
  <c r="L12" i="12"/>
  <c r="R12" i="12" s="1"/>
  <c r="L57" i="11"/>
  <c r="R57" i="11" s="1"/>
  <c r="L46" i="11"/>
  <c r="L11" i="11"/>
  <c r="R11" i="11" s="1"/>
  <c r="L60" i="10"/>
  <c r="L52" i="10"/>
  <c r="R52" i="10" s="1"/>
  <c r="L48" i="10"/>
  <c r="R48" i="10" s="1"/>
  <c r="L10" i="14"/>
  <c r="L36" i="12"/>
  <c r="R36" i="12" s="1"/>
  <c r="L54" i="11"/>
  <c r="R54" i="11" s="1"/>
  <c r="L36" i="11"/>
  <c r="R36" i="11" s="1"/>
  <c r="L25" i="11"/>
  <c r="R25" i="11" s="1"/>
  <c r="L24" i="11"/>
  <c r="R24" i="11" s="1"/>
  <c r="L19" i="11"/>
  <c r="L17" i="11"/>
  <c r="R17" i="11" s="1"/>
  <c r="L10" i="11"/>
  <c r="L55" i="10"/>
  <c r="R55" i="10" s="1"/>
  <c r="L41" i="10"/>
  <c r="R41" i="10" s="1"/>
  <c r="L28" i="10"/>
  <c r="L24" i="10"/>
  <c r="R24" i="10" s="1"/>
  <c r="L57" i="9"/>
  <c r="R57" i="9" s="1"/>
  <c r="L43" i="9"/>
  <c r="R43" i="9" s="1"/>
  <c r="L35" i="9"/>
  <c r="R35" i="9" s="1"/>
  <c r="L22" i="9"/>
  <c r="R22" i="9" s="1"/>
  <c r="L17" i="9"/>
  <c r="R17" i="9" s="1"/>
  <c r="L54" i="8"/>
  <c r="R54" i="8" s="1"/>
  <c r="L53" i="8"/>
  <c r="R53" i="8" s="1"/>
  <c r="L52" i="8"/>
  <c r="R52" i="8" s="1"/>
  <c r="L30" i="8"/>
  <c r="R30" i="8" s="1"/>
  <c r="L49" i="12"/>
  <c r="R49" i="12" s="1"/>
  <c r="L10" i="12"/>
  <c r="L40" i="11"/>
  <c r="R40" i="11" s="1"/>
  <c r="L57" i="10"/>
  <c r="R57" i="10" s="1"/>
  <c r="L56" i="10"/>
  <c r="R56" i="10" s="1"/>
  <c r="L15" i="10"/>
  <c r="R15" i="10" s="1"/>
  <c r="L14" i="10"/>
  <c r="R14" i="10" s="1"/>
  <c r="L46" i="9"/>
  <c r="L38" i="9"/>
  <c r="L32" i="9"/>
  <c r="R32" i="9" s="1"/>
  <c r="L31" i="9"/>
  <c r="R31" i="9" s="1"/>
  <c r="L21" i="9"/>
  <c r="R21" i="9" s="1"/>
  <c r="L16" i="9"/>
  <c r="R16" i="9" s="1"/>
  <c r="L15" i="9"/>
  <c r="R15" i="9" s="1"/>
  <c r="L51" i="8"/>
  <c r="L55" i="11"/>
  <c r="R55" i="11" s="1"/>
  <c r="L44" i="11"/>
  <c r="R44" i="11" s="1"/>
  <c r="L22" i="11"/>
  <c r="R22" i="11" s="1"/>
  <c r="L58" i="10"/>
  <c r="R58" i="10" s="1"/>
  <c r="L51" i="10"/>
  <c r="L40" i="10"/>
  <c r="R40" i="10" s="1"/>
  <c r="L23" i="10"/>
  <c r="R23" i="10" s="1"/>
  <c r="L22" i="10"/>
  <c r="R22" i="10" s="1"/>
  <c r="L13" i="10"/>
  <c r="R13" i="10" s="1"/>
  <c r="L56" i="9"/>
  <c r="R56" i="9" s="1"/>
  <c r="L42" i="9"/>
  <c r="R42" i="9" s="1"/>
  <c r="L34" i="9"/>
  <c r="L20" i="9"/>
  <c r="R20" i="9" s="1"/>
  <c r="L19" i="9"/>
  <c r="L17" i="8"/>
  <c r="R17" i="8" s="1"/>
  <c r="L16" i="8"/>
  <c r="R16" i="8" s="1"/>
  <c r="L39" i="11"/>
  <c r="R39" i="11" s="1"/>
  <c r="L23" i="11"/>
  <c r="R23" i="11" s="1"/>
  <c r="L13" i="11"/>
  <c r="R13" i="11" s="1"/>
  <c r="L35" i="10"/>
  <c r="R35" i="10" s="1"/>
  <c r="L34" i="10"/>
  <c r="L32" i="10"/>
  <c r="R32" i="10" s="1"/>
  <c r="L12" i="10"/>
  <c r="R12" i="10" s="1"/>
  <c r="L60" i="9"/>
  <c r="L54" i="9"/>
  <c r="R54" i="9" s="1"/>
  <c r="L41" i="9"/>
  <c r="R41" i="9" s="1"/>
  <c r="L40" i="12"/>
  <c r="R40" i="12" s="1"/>
  <c r="L58" i="11"/>
  <c r="R58" i="11" s="1"/>
  <c r="L42" i="11"/>
  <c r="R42" i="11" s="1"/>
  <c r="L35" i="11"/>
  <c r="R35" i="11" s="1"/>
  <c r="L47" i="10"/>
  <c r="R47" i="10" s="1"/>
  <c r="L46" i="10"/>
  <c r="L31" i="10"/>
  <c r="R31" i="10" s="1"/>
  <c r="L30" i="10"/>
  <c r="R30" i="10" s="1"/>
  <c r="L26" i="10"/>
  <c r="R26" i="10" s="1"/>
  <c r="L20" i="10"/>
  <c r="R20" i="10" s="1"/>
  <c r="L17" i="10"/>
  <c r="R17" i="10" s="1"/>
  <c r="L11" i="10"/>
  <c r="R11" i="10" s="1"/>
  <c r="L10" i="10"/>
  <c r="L53" i="9"/>
  <c r="R53" i="9" s="1"/>
  <c r="L49" i="9"/>
  <c r="R49" i="9" s="1"/>
  <c r="L29" i="9"/>
  <c r="R29" i="9" s="1"/>
  <c r="L28" i="9"/>
  <c r="L13" i="9"/>
  <c r="R13" i="9" s="1"/>
  <c r="L12" i="9"/>
  <c r="R12" i="9" s="1"/>
  <c r="L60" i="8"/>
  <c r="L49" i="8"/>
  <c r="R49" i="8" s="1"/>
  <c r="L48" i="8"/>
  <c r="R48" i="8" s="1"/>
  <c r="L43" i="8"/>
  <c r="R43" i="8" s="1"/>
  <c r="L42" i="8"/>
  <c r="R42" i="8" s="1"/>
  <c r="L41" i="8"/>
  <c r="R41" i="8" s="1"/>
  <c r="L40" i="8"/>
  <c r="R40" i="8" s="1"/>
  <c r="L36" i="8"/>
  <c r="R36" i="8" s="1"/>
  <c r="L16" i="11"/>
  <c r="R16" i="11" s="1"/>
  <c r="L54" i="10"/>
  <c r="R54" i="10" s="1"/>
  <c r="L39" i="10"/>
  <c r="R39" i="10" s="1"/>
  <c r="L19" i="10"/>
  <c r="L47" i="9"/>
  <c r="R47" i="9" s="1"/>
  <c r="L36" i="9"/>
  <c r="R36" i="9" s="1"/>
  <c r="L30" i="9"/>
  <c r="R30" i="9" s="1"/>
  <c r="L25" i="9"/>
  <c r="R25" i="9" s="1"/>
  <c r="L35" i="8"/>
  <c r="R35" i="8" s="1"/>
  <c r="L60" i="7"/>
  <c r="L49" i="7"/>
  <c r="R49" i="7" s="1"/>
  <c r="L54" i="6"/>
  <c r="R54" i="6" s="1"/>
  <c r="L26" i="12"/>
  <c r="R26" i="12" s="1"/>
  <c r="L43" i="11"/>
  <c r="R43" i="11" s="1"/>
  <c r="L21" i="10"/>
  <c r="R21" i="10" s="1"/>
  <c r="L58" i="9"/>
  <c r="R58" i="9" s="1"/>
  <c r="L40" i="9"/>
  <c r="R40" i="9" s="1"/>
  <c r="L23" i="9"/>
  <c r="R23" i="9" s="1"/>
  <c r="L14" i="9"/>
  <c r="R14" i="9" s="1"/>
  <c r="L46" i="8"/>
  <c r="L44" i="8"/>
  <c r="R44" i="8" s="1"/>
  <c r="L58" i="7"/>
  <c r="R58" i="7" s="1"/>
  <c r="L57" i="7"/>
  <c r="R57" i="7" s="1"/>
  <c r="L39" i="7"/>
  <c r="R39" i="7" s="1"/>
  <c r="L38" i="7"/>
  <c r="L29" i="7"/>
  <c r="R29" i="7" s="1"/>
  <c r="L26" i="7"/>
  <c r="R26" i="7" s="1"/>
  <c r="L21" i="7"/>
  <c r="R21" i="7" s="1"/>
  <c r="L20" i="7"/>
  <c r="R20" i="7" s="1"/>
  <c r="L13" i="7"/>
  <c r="R13" i="7" s="1"/>
  <c r="L53" i="6"/>
  <c r="R53" i="6" s="1"/>
  <c r="L49" i="6"/>
  <c r="R49" i="6" s="1"/>
  <c r="L40" i="6"/>
  <c r="R40" i="6" s="1"/>
  <c r="L36" i="6"/>
  <c r="R36" i="6" s="1"/>
  <c r="L28" i="6"/>
  <c r="L32" i="12"/>
  <c r="R32" i="12" s="1"/>
  <c r="L32" i="11"/>
  <c r="R32" i="11" s="1"/>
  <c r="L51" i="9"/>
  <c r="L25" i="8"/>
  <c r="R25" i="8" s="1"/>
  <c r="L22" i="8"/>
  <c r="R22" i="8" s="1"/>
  <c r="L15" i="8"/>
  <c r="R15" i="8" s="1"/>
  <c r="L13" i="8"/>
  <c r="R13" i="8" s="1"/>
  <c r="L12" i="8"/>
  <c r="R12" i="8" s="1"/>
  <c r="L56" i="7"/>
  <c r="R56" i="7" s="1"/>
  <c r="L54" i="7"/>
  <c r="R54" i="7" s="1"/>
  <c r="L53" i="7"/>
  <c r="R53" i="7" s="1"/>
  <c r="L48" i="7"/>
  <c r="R48" i="7" s="1"/>
  <c r="L47" i="7"/>
  <c r="R47" i="7" s="1"/>
  <c r="L44" i="7"/>
  <c r="R44" i="7" s="1"/>
  <c r="L36" i="7"/>
  <c r="R36" i="7" s="1"/>
  <c r="L28" i="7"/>
  <c r="L25" i="7"/>
  <c r="R25" i="7" s="1"/>
  <c r="L12" i="7"/>
  <c r="R12" i="7" s="1"/>
  <c r="L11" i="7"/>
  <c r="R11" i="7" s="1"/>
  <c r="L52" i="6"/>
  <c r="R52" i="6" s="1"/>
  <c r="L48" i="6"/>
  <c r="R48" i="6" s="1"/>
  <c r="L39" i="6"/>
  <c r="R39" i="6" s="1"/>
  <c r="L36" i="10"/>
  <c r="R36" i="10" s="1"/>
  <c r="L16" i="10"/>
  <c r="R16" i="10" s="1"/>
  <c r="L55" i="9"/>
  <c r="R55" i="9" s="1"/>
  <c r="L48" i="9"/>
  <c r="R48" i="9" s="1"/>
  <c r="L24" i="9"/>
  <c r="R24" i="9" s="1"/>
  <c r="L10" i="9"/>
  <c r="L55" i="8"/>
  <c r="R55" i="8" s="1"/>
  <c r="L20" i="8"/>
  <c r="R20" i="8" s="1"/>
  <c r="L43" i="7"/>
  <c r="R43" i="7" s="1"/>
  <c r="L23" i="7"/>
  <c r="R23" i="7" s="1"/>
  <c r="L16" i="7"/>
  <c r="R16" i="7" s="1"/>
  <c r="L51" i="6"/>
  <c r="L34" i="6"/>
  <c r="L52" i="12"/>
  <c r="R52" i="12" s="1"/>
  <c r="L20" i="11"/>
  <c r="R20" i="11" s="1"/>
  <c r="L14" i="11"/>
  <c r="R14" i="11" s="1"/>
  <c r="L29" i="10"/>
  <c r="R29" i="10" s="1"/>
  <c r="L39" i="9"/>
  <c r="R39" i="9" s="1"/>
  <c r="L47" i="8"/>
  <c r="R47" i="8" s="1"/>
  <c r="L34" i="8"/>
  <c r="L23" i="8"/>
  <c r="R23" i="8" s="1"/>
  <c r="L42" i="7"/>
  <c r="R42" i="7" s="1"/>
  <c r="L41" i="7"/>
  <c r="R41" i="7" s="1"/>
  <c r="L35" i="7"/>
  <c r="R35" i="7" s="1"/>
  <c r="L34" i="7"/>
  <c r="L32" i="7"/>
  <c r="R32" i="7" s="1"/>
  <c r="L42" i="10"/>
  <c r="R42" i="10" s="1"/>
  <c r="L26" i="9"/>
  <c r="R26" i="9" s="1"/>
  <c r="L31" i="8"/>
  <c r="R31" i="8" s="1"/>
  <c r="L19" i="8"/>
  <c r="L11" i="8"/>
  <c r="R11" i="8" s="1"/>
  <c r="L60" i="6"/>
  <c r="L29" i="6"/>
  <c r="R29" i="6" s="1"/>
  <c r="L16" i="6"/>
  <c r="R16" i="6" s="1"/>
  <c r="L11" i="6"/>
  <c r="R11" i="6" s="1"/>
  <c r="L57" i="5"/>
  <c r="R57" i="5" s="1"/>
  <c r="L54" i="5"/>
  <c r="R54" i="5" s="1"/>
  <c r="L53" i="5"/>
  <c r="R53" i="5" s="1"/>
  <c r="L52" i="5"/>
  <c r="R52" i="5" s="1"/>
  <c r="L51" i="5"/>
  <c r="L30" i="7"/>
  <c r="R30" i="7" s="1"/>
  <c r="L19" i="7"/>
  <c r="L15" i="7"/>
  <c r="R15" i="7" s="1"/>
  <c r="L41" i="6"/>
  <c r="R41" i="6" s="1"/>
  <c r="L38" i="6"/>
  <c r="L15" i="6"/>
  <c r="R15" i="6" s="1"/>
  <c r="L26" i="8"/>
  <c r="R26" i="8" s="1"/>
  <c r="L51" i="7"/>
  <c r="L17" i="7"/>
  <c r="R17" i="7" s="1"/>
  <c r="L57" i="6"/>
  <c r="R57" i="6" s="1"/>
  <c r="L30" i="6"/>
  <c r="R30" i="6" s="1"/>
  <c r="L24" i="6"/>
  <c r="R24" i="6" s="1"/>
  <c r="L23" i="6"/>
  <c r="R23" i="6" s="1"/>
  <c r="L14" i="6"/>
  <c r="R14" i="6" s="1"/>
  <c r="L10" i="6"/>
  <c r="L58" i="8"/>
  <c r="R58" i="8" s="1"/>
  <c r="L29" i="8"/>
  <c r="R29" i="8" s="1"/>
  <c r="L10" i="8"/>
  <c r="L40" i="7"/>
  <c r="R40" i="7" s="1"/>
  <c r="L46" i="6"/>
  <c r="L42" i="6"/>
  <c r="R42" i="6" s="1"/>
  <c r="L35" i="6"/>
  <c r="R35" i="6" s="1"/>
  <c r="L26" i="6"/>
  <c r="R26" i="6" s="1"/>
  <c r="L25" i="6"/>
  <c r="R25" i="6" s="1"/>
  <c r="L22" i="6"/>
  <c r="R22" i="6" s="1"/>
  <c r="L41" i="11"/>
  <c r="R41" i="11" s="1"/>
  <c r="L11" i="9"/>
  <c r="R11" i="9" s="1"/>
  <c r="L57" i="8"/>
  <c r="R57" i="8" s="1"/>
  <c r="L21" i="8"/>
  <c r="R21" i="8" s="1"/>
  <c r="L46" i="7"/>
  <c r="L55" i="6"/>
  <c r="R55" i="6" s="1"/>
  <c r="L43" i="6"/>
  <c r="R43" i="6" s="1"/>
  <c r="L31" i="6"/>
  <c r="R31" i="6" s="1"/>
  <c r="L21" i="6"/>
  <c r="R21" i="6" s="1"/>
  <c r="L42" i="5"/>
  <c r="L38" i="10"/>
  <c r="L25" i="10"/>
  <c r="R25" i="10" s="1"/>
  <c r="L44" i="9"/>
  <c r="R44" i="9" s="1"/>
  <c r="L39" i="8"/>
  <c r="R39" i="8" s="1"/>
  <c r="L28" i="8"/>
  <c r="L31" i="7"/>
  <c r="R31" i="7" s="1"/>
  <c r="L14" i="7"/>
  <c r="R14" i="7" s="1"/>
  <c r="L10" i="7"/>
  <c r="L58" i="6"/>
  <c r="R58" i="6" s="1"/>
  <c r="L47" i="6"/>
  <c r="R47" i="6" s="1"/>
  <c r="L32" i="6"/>
  <c r="R32" i="6" s="1"/>
  <c r="L13" i="6"/>
  <c r="R13" i="6" s="1"/>
  <c r="L49" i="5"/>
  <c r="R49" i="5" s="1"/>
  <c r="L48" i="5"/>
  <c r="R48" i="5" s="1"/>
  <c r="L47" i="5"/>
  <c r="R47" i="5" s="1"/>
  <c r="L43" i="10"/>
  <c r="R43" i="10" s="1"/>
  <c r="L24" i="8"/>
  <c r="R24" i="8" s="1"/>
  <c r="L60" i="5"/>
  <c r="L58" i="5"/>
  <c r="R58" i="5" s="1"/>
  <c r="L31" i="5"/>
  <c r="R31" i="5" s="1"/>
  <c r="L13" i="5"/>
  <c r="R13" i="5" s="1"/>
  <c r="L12" i="5"/>
  <c r="R12" i="5" s="1"/>
  <c r="L28" i="4"/>
  <c r="L21" i="5"/>
  <c r="L29" i="4"/>
  <c r="R29" i="4" s="1"/>
  <c r="L14" i="4"/>
  <c r="R14" i="4" s="1"/>
  <c r="L15" i="11"/>
  <c r="R15" i="11" s="1"/>
  <c r="L55" i="7"/>
  <c r="R55" i="7" s="1"/>
  <c r="L19" i="6"/>
  <c r="L12" i="6"/>
  <c r="R12" i="6" s="1"/>
  <c r="L55" i="5"/>
  <c r="R55" i="5" s="1"/>
  <c r="L34" i="5"/>
  <c r="L26" i="5"/>
  <c r="R26" i="5" s="1"/>
  <c r="L11" i="5"/>
  <c r="R11" i="5" s="1"/>
  <c r="L60" i="4"/>
  <c r="L58" i="4"/>
  <c r="R58" i="4" s="1"/>
  <c r="L52" i="4"/>
  <c r="R52" i="4" s="1"/>
  <c r="L51" i="4"/>
  <c r="L48" i="4"/>
  <c r="R48" i="4" s="1"/>
  <c r="L47" i="4"/>
  <c r="R47" i="4" s="1"/>
  <c r="L46" i="4"/>
  <c r="L41" i="4"/>
  <c r="R41" i="4" s="1"/>
  <c r="L24" i="4"/>
  <c r="R24" i="4" s="1"/>
  <c r="L23" i="4"/>
  <c r="R23" i="4" s="1"/>
  <c r="L22" i="4"/>
  <c r="R22" i="4" s="1"/>
  <c r="L12" i="4"/>
  <c r="R12" i="4" s="1"/>
  <c r="L11" i="4"/>
  <c r="R11" i="4" s="1"/>
  <c r="L10" i="4"/>
  <c r="L21" i="11"/>
  <c r="R21" i="11" s="1"/>
  <c r="L52" i="9"/>
  <c r="R52" i="9" s="1"/>
  <c r="L32" i="8"/>
  <c r="R32" i="8" s="1"/>
  <c r="L24" i="7"/>
  <c r="R24" i="7" s="1"/>
  <c r="L56" i="6"/>
  <c r="R56" i="6" s="1"/>
  <c r="L40" i="5"/>
  <c r="R40" i="5" s="1"/>
  <c r="L39" i="5"/>
  <c r="R39" i="5" s="1"/>
  <c r="L30" i="5"/>
  <c r="R30" i="5" s="1"/>
  <c r="L25" i="5"/>
  <c r="R25" i="5" s="1"/>
  <c r="L24" i="5"/>
  <c r="R24" i="5" s="1"/>
  <c r="L40" i="4"/>
  <c r="R40" i="4" s="1"/>
  <c r="L36" i="4"/>
  <c r="R36" i="4" s="1"/>
  <c r="L26" i="4"/>
  <c r="R26" i="4" s="1"/>
  <c r="L14" i="8"/>
  <c r="R14" i="8" s="1"/>
  <c r="L41" i="5"/>
  <c r="R41" i="5" s="1"/>
  <c r="L38" i="5"/>
  <c r="R38" i="5" s="1"/>
  <c r="L29" i="5"/>
  <c r="R29" i="5" s="1"/>
  <c r="L28" i="5"/>
  <c r="L23" i="5"/>
  <c r="R23" i="5" s="1"/>
  <c r="L10" i="5"/>
  <c r="L57" i="4"/>
  <c r="R57" i="4" s="1"/>
  <c r="L56" i="4"/>
  <c r="R56" i="4" s="1"/>
  <c r="L39" i="4"/>
  <c r="R39" i="4" s="1"/>
  <c r="L35" i="4"/>
  <c r="R35" i="4" s="1"/>
  <c r="L32" i="4"/>
  <c r="R32" i="4" s="1"/>
  <c r="L21" i="4"/>
  <c r="R21" i="4" s="1"/>
  <c r="L17" i="4"/>
  <c r="R17" i="4" s="1"/>
  <c r="L17" i="6"/>
  <c r="R17" i="6" s="1"/>
  <c r="L52" i="7"/>
  <c r="R52" i="7" s="1"/>
  <c r="L22" i="7"/>
  <c r="R22" i="7" s="1"/>
  <c r="L44" i="5"/>
  <c r="R44" i="5" s="1"/>
  <c r="L17" i="5"/>
  <c r="R17" i="5" s="1"/>
  <c r="L16" i="5"/>
  <c r="R16" i="5" s="1"/>
  <c r="L38" i="4"/>
  <c r="L34" i="4"/>
  <c r="L31" i="4"/>
  <c r="R31" i="4" s="1"/>
  <c r="L20" i="4"/>
  <c r="R20" i="4" s="1"/>
  <c r="L16" i="4"/>
  <c r="R16" i="4" s="1"/>
  <c r="L56" i="5"/>
  <c r="R56" i="5" s="1"/>
  <c r="L46" i="5"/>
  <c r="L22" i="5"/>
  <c r="R22" i="5" s="1"/>
  <c r="L15" i="5"/>
  <c r="R15" i="5" s="1"/>
  <c r="L55" i="4"/>
  <c r="R55" i="4" s="1"/>
  <c r="L30" i="4"/>
  <c r="R30" i="4" s="1"/>
  <c r="L19" i="4"/>
  <c r="L15" i="4"/>
  <c r="R15" i="4" s="1"/>
  <c r="L20" i="6"/>
  <c r="R20" i="6" s="1"/>
  <c r="L20" i="5"/>
  <c r="R20" i="5" s="1"/>
  <c r="L54" i="4"/>
  <c r="R54" i="4" s="1"/>
  <c r="L56" i="8"/>
  <c r="R56" i="8" s="1"/>
  <c r="L44" i="10"/>
  <c r="R44" i="10" s="1"/>
  <c r="L38" i="8"/>
  <c r="L44" i="6"/>
  <c r="R44" i="6" s="1"/>
  <c r="L43" i="5"/>
  <c r="R43" i="5" s="1"/>
  <c r="L25" i="4"/>
  <c r="R25" i="4" s="1"/>
  <c r="L32" i="5"/>
  <c r="R32" i="5" s="1"/>
  <c r="L49" i="4"/>
  <c r="R49" i="4" s="1"/>
  <c r="L44" i="4"/>
  <c r="R44" i="4" s="1"/>
  <c r="L13" i="4"/>
  <c r="R13" i="4" s="1"/>
  <c r="L36" i="5"/>
  <c r="R36" i="5" s="1"/>
  <c r="L19" i="5"/>
  <c r="R19" i="5" s="1"/>
  <c r="L53" i="4"/>
  <c r="R53" i="4" s="1"/>
  <c r="L43" i="4"/>
  <c r="R43" i="4" s="1"/>
  <c r="L35" i="5"/>
  <c r="R35" i="5" s="1"/>
  <c r="L14" i="5"/>
  <c r="R14" i="5" s="1"/>
  <c r="L42" i="4"/>
  <c r="R42" i="4" s="1"/>
  <c r="R38" i="2"/>
  <c r="Y38" i="2" s="1"/>
  <c r="K56" i="16"/>
  <c r="Q56" i="16" s="1"/>
  <c r="K43" i="16"/>
  <c r="Q43" i="16" s="1"/>
  <c r="K20" i="16"/>
  <c r="Q20" i="16" s="1"/>
  <c r="K19" i="16"/>
  <c r="K42" i="16"/>
  <c r="Q42" i="16" s="1"/>
  <c r="K41" i="16"/>
  <c r="Q41" i="16" s="1"/>
  <c r="K55" i="16"/>
  <c r="Q55" i="16" s="1"/>
  <c r="K36" i="16"/>
  <c r="Q36" i="16" s="1"/>
  <c r="K35" i="16"/>
  <c r="Q35" i="16" s="1"/>
  <c r="K32" i="16"/>
  <c r="Q32" i="16" s="1"/>
  <c r="K11" i="16"/>
  <c r="Q11" i="16" s="1"/>
  <c r="K54" i="16"/>
  <c r="Q54" i="16" s="1"/>
  <c r="K40" i="16"/>
  <c r="Q40" i="16" s="1"/>
  <c r="K39" i="16"/>
  <c r="Q39" i="16" s="1"/>
  <c r="K34" i="16"/>
  <c r="K31" i="16"/>
  <c r="Q31" i="16" s="1"/>
  <c r="K30" i="16"/>
  <c r="Q30" i="16" s="1"/>
  <c r="K26" i="16"/>
  <c r="Q26" i="16" s="1"/>
  <c r="K10" i="16"/>
  <c r="K60" i="15"/>
  <c r="K51" i="15"/>
  <c r="Q51" i="15" s="1"/>
  <c r="K53" i="16"/>
  <c r="Q53" i="16" s="1"/>
  <c r="K49" i="16"/>
  <c r="Q49" i="16" s="1"/>
  <c r="K38" i="16"/>
  <c r="K28" i="16"/>
  <c r="K58" i="15"/>
  <c r="Q58" i="15" s="1"/>
  <c r="K41" i="15"/>
  <c r="Q41" i="15" s="1"/>
  <c r="K40" i="15"/>
  <c r="Q40" i="15" s="1"/>
  <c r="K52" i="16"/>
  <c r="Q52" i="16" s="1"/>
  <c r="K48" i="16"/>
  <c r="Q48" i="16" s="1"/>
  <c r="K29" i="16"/>
  <c r="Q29" i="16" s="1"/>
  <c r="K25" i="16"/>
  <c r="Q25" i="16" s="1"/>
  <c r="K24" i="16"/>
  <c r="Q24" i="16" s="1"/>
  <c r="K39" i="15"/>
  <c r="Q39" i="15" s="1"/>
  <c r="K36" i="15"/>
  <c r="Q36" i="15" s="1"/>
  <c r="K60" i="16"/>
  <c r="K58" i="16"/>
  <c r="Q58" i="16" s="1"/>
  <c r="K57" i="16"/>
  <c r="Q57" i="16" s="1"/>
  <c r="K44" i="16"/>
  <c r="Q44" i="16" s="1"/>
  <c r="K23" i="16"/>
  <c r="Q23" i="16" s="1"/>
  <c r="K21" i="16"/>
  <c r="Q21" i="16" s="1"/>
  <c r="K17" i="16"/>
  <c r="Q17" i="16" s="1"/>
  <c r="K57" i="15"/>
  <c r="Q57" i="15" s="1"/>
  <c r="K56" i="15"/>
  <c r="Q56" i="15" s="1"/>
  <c r="K16" i="16"/>
  <c r="Q16" i="16" s="1"/>
  <c r="K13" i="16"/>
  <c r="Q13" i="16" s="1"/>
  <c r="K53" i="15"/>
  <c r="Q53" i="15" s="1"/>
  <c r="K26" i="15"/>
  <c r="Q26" i="15" s="1"/>
  <c r="K22" i="15"/>
  <c r="Q22" i="15" s="1"/>
  <c r="K17" i="15"/>
  <c r="Q17" i="15" s="1"/>
  <c r="K16" i="15"/>
  <c r="Q16" i="15" s="1"/>
  <c r="K49" i="14"/>
  <c r="Q49" i="14" s="1"/>
  <c r="K48" i="14"/>
  <c r="Q48" i="14" s="1"/>
  <c r="K44" i="14"/>
  <c r="Q44" i="14" s="1"/>
  <c r="K23" i="14"/>
  <c r="Q23" i="14" s="1"/>
  <c r="K30" i="15"/>
  <c r="Q30" i="15" s="1"/>
  <c r="K21" i="15"/>
  <c r="Q21" i="15" s="1"/>
  <c r="K20" i="15"/>
  <c r="Q20" i="15" s="1"/>
  <c r="K54" i="14"/>
  <c r="Q54" i="14" s="1"/>
  <c r="K53" i="14"/>
  <c r="K52" i="14"/>
  <c r="Q52" i="14" s="1"/>
  <c r="K47" i="14"/>
  <c r="Q47" i="14" s="1"/>
  <c r="K46" i="14"/>
  <c r="K43" i="14"/>
  <c r="Q43" i="14" s="1"/>
  <c r="K22" i="14"/>
  <c r="Q22" i="14" s="1"/>
  <c r="K17" i="14"/>
  <c r="Q17" i="14" s="1"/>
  <c r="K15" i="16"/>
  <c r="Q15" i="16" s="1"/>
  <c r="K12" i="16"/>
  <c r="Q12" i="16" s="1"/>
  <c r="K47" i="15"/>
  <c r="Q47" i="15" s="1"/>
  <c r="K15" i="15"/>
  <c r="Q15" i="15" s="1"/>
  <c r="K51" i="14"/>
  <c r="Q51" i="14" s="1"/>
  <c r="K42" i="14"/>
  <c r="Q42" i="14" s="1"/>
  <c r="K32" i="14"/>
  <c r="Q32" i="14" s="1"/>
  <c r="K31" i="14"/>
  <c r="Q31" i="14" s="1"/>
  <c r="K43" i="15"/>
  <c r="Q43" i="15" s="1"/>
  <c r="K38" i="15"/>
  <c r="K34" i="15"/>
  <c r="K31" i="15"/>
  <c r="Q31" i="15" s="1"/>
  <c r="K28" i="15"/>
  <c r="K19" i="15"/>
  <c r="K60" i="14"/>
  <c r="K36" i="14"/>
  <c r="Q36" i="14" s="1"/>
  <c r="K35" i="14"/>
  <c r="Q35" i="14" s="1"/>
  <c r="K21" i="14"/>
  <c r="Q21" i="14" s="1"/>
  <c r="K20" i="14"/>
  <c r="Q20" i="14" s="1"/>
  <c r="K19" i="14"/>
  <c r="K14" i="16"/>
  <c r="Q14" i="16" s="1"/>
  <c r="K54" i="15"/>
  <c r="Q54" i="15" s="1"/>
  <c r="K29" i="15"/>
  <c r="Q29" i="15" s="1"/>
  <c r="K14" i="15"/>
  <c r="Q14" i="15" s="1"/>
  <c r="K13" i="15"/>
  <c r="Q13" i="15" s="1"/>
  <c r="K58" i="14"/>
  <c r="Q58" i="14" s="1"/>
  <c r="K41" i="14"/>
  <c r="Q41" i="14" s="1"/>
  <c r="K40" i="14"/>
  <c r="Q40" i="14" s="1"/>
  <c r="K39" i="14"/>
  <c r="Q39" i="14" s="1"/>
  <c r="K30" i="14"/>
  <c r="Q30" i="14" s="1"/>
  <c r="K52" i="15"/>
  <c r="K48" i="15"/>
  <c r="Q48" i="15" s="1"/>
  <c r="K35" i="15"/>
  <c r="Q35" i="15" s="1"/>
  <c r="K12" i="15"/>
  <c r="Q12" i="15" s="1"/>
  <c r="K34" i="14"/>
  <c r="K29" i="14"/>
  <c r="Q29" i="14" s="1"/>
  <c r="K26" i="14"/>
  <c r="Q26" i="14" s="1"/>
  <c r="K51" i="16"/>
  <c r="K47" i="16"/>
  <c r="Q47" i="16" s="1"/>
  <c r="K22" i="16"/>
  <c r="Q22" i="16" s="1"/>
  <c r="K46" i="15"/>
  <c r="K44" i="15"/>
  <c r="Q44" i="15" s="1"/>
  <c r="K25" i="15"/>
  <c r="Q25" i="15" s="1"/>
  <c r="K24" i="15"/>
  <c r="Q24" i="15" s="1"/>
  <c r="K11" i="15"/>
  <c r="Q11" i="15" s="1"/>
  <c r="K57" i="14"/>
  <c r="Q57" i="14" s="1"/>
  <c r="K38" i="14"/>
  <c r="K28" i="14"/>
  <c r="K25" i="14"/>
  <c r="Q25" i="14" s="1"/>
  <c r="K55" i="15"/>
  <c r="Q55" i="15" s="1"/>
  <c r="K54" i="13"/>
  <c r="Q54" i="13" s="1"/>
  <c r="K53" i="13"/>
  <c r="Q53" i="13" s="1"/>
  <c r="K49" i="13"/>
  <c r="Q49" i="13" s="1"/>
  <c r="K44" i="13"/>
  <c r="Q44" i="13" s="1"/>
  <c r="K23" i="13"/>
  <c r="Q23" i="13" s="1"/>
  <c r="K52" i="12"/>
  <c r="Q52" i="12" s="1"/>
  <c r="K46" i="16"/>
  <c r="K24" i="14"/>
  <c r="Q24" i="14" s="1"/>
  <c r="K16" i="14"/>
  <c r="Q16" i="14" s="1"/>
  <c r="K15" i="14"/>
  <c r="Q15" i="14" s="1"/>
  <c r="K52" i="13"/>
  <c r="Q52" i="13" s="1"/>
  <c r="K48" i="13"/>
  <c r="Q48" i="13" s="1"/>
  <c r="K47" i="13"/>
  <c r="Q47" i="13" s="1"/>
  <c r="K17" i="13"/>
  <c r="Q17" i="13" s="1"/>
  <c r="K16" i="13"/>
  <c r="Q16" i="13" s="1"/>
  <c r="K10" i="13"/>
  <c r="K51" i="13"/>
  <c r="K46" i="13"/>
  <c r="K43" i="13"/>
  <c r="Q43" i="13" s="1"/>
  <c r="K22" i="13"/>
  <c r="Q22" i="13" s="1"/>
  <c r="K21" i="13"/>
  <c r="Q21" i="13" s="1"/>
  <c r="K20" i="13"/>
  <c r="Q20" i="13" s="1"/>
  <c r="K14" i="14"/>
  <c r="Q14" i="14" s="1"/>
  <c r="K42" i="13"/>
  <c r="Q42" i="13" s="1"/>
  <c r="K41" i="13"/>
  <c r="Q41" i="13" s="1"/>
  <c r="K36" i="13"/>
  <c r="Q36" i="13" s="1"/>
  <c r="K35" i="13"/>
  <c r="Q35" i="13" s="1"/>
  <c r="K32" i="13"/>
  <c r="Q32" i="13" s="1"/>
  <c r="K31" i="13"/>
  <c r="Q31" i="13" s="1"/>
  <c r="K15" i="13"/>
  <c r="Q15" i="13" s="1"/>
  <c r="K32" i="15"/>
  <c r="Q32" i="15" s="1"/>
  <c r="K13" i="14"/>
  <c r="Q13" i="14" s="1"/>
  <c r="K60" i="13"/>
  <c r="K40" i="13"/>
  <c r="Q40" i="13" s="1"/>
  <c r="K34" i="13"/>
  <c r="K30" i="13"/>
  <c r="Q30" i="13" s="1"/>
  <c r="K29" i="13"/>
  <c r="Q29" i="13" s="1"/>
  <c r="K19" i="13"/>
  <c r="K14" i="13"/>
  <c r="Q14" i="13" s="1"/>
  <c r="K56" i="12"/>
  <c r="Q56" i="12" s="1"/>
  <c r="K56" i="14"/>
  <c r="Q56" i="14" s="1"/>
  <c r="K12" i="14"/>
  <c r="Q12" i="14" s="1"/>
  <c r="K39" i="13"/>
  <c r="Q39" i="13" s="1"/>
  <c r="K28" i="13"/>
  <c r="K26" i="13"/>
  <c r="Q26" i="13" s="1"/>
  <c r="K55" i="13"/>
  <c r="Q55" i="13" s="1"/>
  <c r="K58" i="12"/>
  <c r="Q58" i="12" s="1"/>
  <c r="K51" i="12"/>
  <c r="K49" i="12"/>
  <c r="Q49" i="12" s="1"/>
  <c r="K40" i="12"/>
  <c r="Q40" i="12" s="1"/>
  <c r="K36" i="12"/>
  <c r="Q36" i="12" s="1"/>
  <c r="K42" i="15"/>
  <c r="Q42" i="15" s="1"/>
  <c r="K11" i="14"/>
  <c r="Q11" i="14" s="1"/>
  <c r="K12" i="13"/>
  <c r="Q12" i="13" s="1"/>
  <c r="K48" i="12"/>
  <c r="Q48" i="12" s="1"/>
  <c r="K39" i="12"/>
  <c r="Q39" i="12" s="1"/>
  <c r="K35" i="12"/>
  <c r="Q35" i="12" s="1"/>
  <c r="K21" i="12"/>
  <c r="Q21" i="12" s="1"/>
  <c r="K17" i="12"/>
  <c r="Q17" i="12" s="1"/>
  <c r="K55" i="11"/>
  <c r="Q55" i="11" s="1"/>
  <c r="K23" i="15"/>
  <c r="Q23" i="15" s="1"/>
  <c r="K10" i="15"/>
  <c r="K58" i="13"/>
  <c r="Q58" i="13" s="1"/>
  <c r="K54" i="12"/>
  <c r="Q54" i="12" s="1"/>
  <c r="K38" i="12"/>
  <c r="K49" i="15"/>
  <c r="Q49" i="15" s="1"/>
  <c r="K10" i="14"/>
  <c r="K57" i="13"/>
  <c r="Q57" i="13" s="1"/>
  <c r="K25" i="13"/>
  <c r="Q25" i="13" s="1"/>
  <c r="K57" i="12"/>
  <c r="Q57" i="12" s="1"/>
  <c r="K44" i="12"/>
  <c r="Q44" i="12" s="1"/>
  <c r="K32" i="12"/>
  <c r="Q32" i="12" s="1"/>
  <c r="K56" i="13"/>
  <c r="Q56" i="13" s="1"/>
  <c r="K13" i="13"/>
  <c r="Q13" i="13" s="1"/>
  <c r="K60" i="12"/>
  <c r="K55" i="12"/>
  <c r="Q55" i="12" s="1"/>
  <c r="K31" i="12"/>
  <c r="Q31" i="12" s="1"/>
  <c r="K30" i="12"/>
  <c r="Q30" i="12" s="1"/>
  <c r="K25" i="12"/>
  <c r="Q25" i="12" s="1"/>
  <c r="K13" i="12"/>
  <c r="Q13" i="12" s="1"/>
  <c r="K60" i="11"/>
  <c r="K53" i="11"/>
  <c r="Q53" i="11" s="1"/>
  <c r="K52" i="11"/>
  <c r="Q52" i="11" s="1"/>
  <c r="K49" i="11"/>
  <c r="Q49" i="11" s="1"/>
  <c r="K48" i="11"/>
  <c r="Q48" i="11" s="1"/>
  <c r="K46" i="12"/>
  <c r="K42" i="12"/>
  <c r="Q42" i="12" s="1"/>
  <c r="K10" i="12"/>
  <c r="K44" i="11"/>
  <c r="Q44" i="11" s="1"/>
  <c r="K39" i="11"/>
  <c r="Q39" i="11" s="1"/>
  <c r="K32" i="11"/>
  <c r="Q32" i="11" s="1"/>
  <c r="K55" i="14"/>
  <c r="Q55" i="14" s="1"/>
  <c r="K20" i="12"/>
  <c r="Q20" i="12" s="1"/>
  <c r="K14" i="12"/>
  <c r="Q14" i="12" s="1"/>
  <c r="K34" i="11"/>
  <c r="K31" i="11"/>
  <c r="Q31" i="11" s="1"/>
  <c r="K24" i="12"/>
  <c r="Q24" i="12" s="1"/>
  <c r="K11" i="12"/>
  <c r="Q11" i="12" s="1"/>
  <c r="K56" i="11"/>
  <c r="Q56" i="11" s="1"/>
  <c r="K38" i="11"/>
  <c r="K20" i="11"/>
  <c r="Q20" i="11" s="1"/>
  <c r="K19" i="11"/>
  <c r="K14" i="11"/>
  <c r="Q14" i="11" s="1"/>
  <c r="K13" i="11"/>
  <c r="Q13" i="11" s="1"/>
  <c r="K55" i="10"/>
  <c r="Q55" i="10" s="1"/>
  <c r="K54" i="10"/>
  <c r="Q54" i="10" s="1"/>
  <c r="K41" i="12"/>
  <c r="Q41" i="12" s="1"/>
  <c r="K15" i="12"/>
  <c r="Q15" i="12" s="1"/>
  <c r="K30" i="11"/>
  <c r="Q30" i="11" s="1"/>
  <c r="K26" i="11"/>
  <c r="Q26" i="11" s="1"/>
  <c r="K24" i="13"/>
  <c r="Q24" i="13" s="1"/>
  <c r="K11" i="13"/>
  <c r="Q11" i="13" s="1"/>
  <c r="K34" i="12"/>
  <c r="K29" i="11"/>
  <c r="Q29" i="11" s="1"/>
  <c r="K28" i="11"/>
  <c r="K53" i="12"/>
  <c r="Q53" i="12" s="1"/>
  <c r="K47" i="12"/>
  <c r="Q47" i="12" s="1"/>
  <c r="K43" i="12"/>
  <c r="Q43" i="12" s="1"/>
  <c r="K28" i="12"/>
  <c r="K22" i="12"/>
  <c r="Q22" i="12" s="1"/>
  <c r="K12" i="12"/>
  <c r="Q12" i="12" s="1"/>
  <c r="K57" i="11"/>
  <c r="Q57" i="11" s="1"/>
  <c r="K47" i="11"/>
  <c r="Q47" i="11" s="1"/>
  <c r="K46" i="11"/>
  <c r="K19" i="12"/>
  <c r="K16" i="12"/>
  <c r="Q16" i="12" s="1"/>
  <c r="K41" i="11"/>
  <c r="Q41" i="11" s="1"/>
  <c r="K24" i="11"/>
  <c r="Q24" i="11" s="1"/>
  <c r="K16" i="11"/>
  <c r="Q16" i="11" s="1"/>
  <c r="K15" i="11"/>
  <c r="Q15" i="11" s="1"/>
  <c r="K43" i="10"/>
  <c r="Q43" i="10" s="1"/>
  <c r="K42" i="10"/>
  <c r="Q42" i="10" s="1"/>
  <c r="K16" i="10"/>
  <c r="Q16" i="10" s="1"/>
  <c r="K52" i="9"/>
  <c r="Q52" i="9" s="1"/>
  <c r="K51" i="9"/>
  <c r="K47" i="9"/>
  <c r="Q47" i="9" s="1"/>
  <c r="K44" i="9"/>
  <c r="Q44" i="9" s="1"/>
  <c r="K39" i="9"/>
  <c r="Q39" i="9" s="1"/>
  <c r="K36" i="9"/>
  <c r="Q36" i="9" s="1"/>
  <c r="K23" i="9"/>
  <c r="Q23" i="9" s="1"/>
  <c r="K10" i="9"/>
  <c r="Q10" i="9" s="1"/>
  <c r="K55" i="8"/>
  <c r="Q55" i="8" s="1"/>
  <c r="K38" i="8"/>
  <c r="K34" i="8"/>
  <c r="K31" i="8"/>
  <c r="Q31" i="8" s="1"/>
  <c r="K29" i="8"/>
  <c r="Q29" i="8" s="1"/>
  <c r="K28" i="8"/>
  <c r="K38" i="13"/>
  <c r="K17" i="11"/>
  <c r="Q17" i="11" s="1"/>
  <c r="K10" i="11"/>
  <c r="K41" i="10"/>
  <c r="Q41" i="10" s="1"/>
  <c r="K28" i="10"/>
  <c r="K24" i="10"/>
  <c r="Q24" i="10" s="1"/>
  <c r="K57" i="9"/>
  <c r="Q57" i="9" s="1"/>
  <c r="K43" i="9"/>
  <c r="Q43" i="9" s="1"/>
  <c r="K35" i="9"/>
  <c r="Q35" i="9" s="1"/>
  <c r="K22" i="9"/>
  <c r="Q22" i="9" s="1"/>
  <c r="K17" i="9"/>
  <c r="Q17" i="9" s="1"/>
  <c r="K54" i="8"/>
  <c r="Q54" i="8" s="1"/>
  <c r="K53" i="8"/>
  <c r="Q53" i="8" s="1"/>
  <c r="K52" i="8"/>
  <c r="Q52" i="8" s="1"/>
  <c r="K30" i="8"/>
  <c r="Q30" i="8" s="1"/>
  <c r="K40" i="11"/>
  <c r="Q40" i="11" s="1"/>
  <c r="K11" i="11"/>
  <c r="Q11" i="11" s="1"/>
  <c r="K57" i="10"/>
  <c r="Q57" i="10" s="1"/>
  <c r="K56" i="10"/>
  <c r="Q56" i="10" s="1"/>
  <c r="K15" i="10"/>
  <c r="Q15" i="10" s="1"/>
  <c r="K14" i="10"/>
  <c r="Q14" i="10" s="1"/>
  <c r="K46" i="9"/>
  <c r="K38" i="9"/>
  <c r="K32" i="9"/>
  <c r="Q32" i="9" s="1"/>
  <c r="K31" i="9"/>
  <c r="Q31" i="9" s="1"/>
  <c r="K21" i="9"/>
  <c r="Q21" i="9" s="1"/>
  <c r="K16" i="9"/>
  <c r="Q16" i="9" s="1"/>
  <c r="K15" i="9"/>
  <c r="Q15" i="9" s="1"/>
  <c r="K51" i="8"/>
  <c r="K43" i="11"/>
  <c r="Q43" i="11" s="1"/>
  <c r="K25" i="11"/>
  <c r="Q25" i="11" s="1"/>
  <c r="K52" i="10"/>
  <c r="Q52" i="10" s="1"/>
  <c r="K39" i="10"/>
  <c r="Q39" i="10" s="1"/>
  <c r="K38" i="10"/>
  <c r="K36" i="10"/>
  <c r="Q36" i="10" s="1"/>
  <c r="K21" i="10"/>
  <c r="Q21" i="10" s="1"/>
  <c r="K55" i="9"/>
  <c r="Q55" i="9" s="1"/>
  <c r="K23" i="11"/>
  <c r="Q23" i="11" s="1"/>
  <c r="K53" i="10"/>
  <c r="Q53" i="10" s="1"/>
  <c r="K35" i="10"/>
  <c r="Q35" i="10" s="1"/>
  <c r="K34" i="10"/>
  <c r="K32" i="10"/>
  <c r="Q32" i="10" s="1"/>
  <c r="K12" i="10"/>
  <c r="Q12" i="10" s="1"/>
  <c r="K60" i="9"/>
  <c r="K54" i="9"/>
  <c r="Q54" i="9" s="1"/>
  <c r="K41" i="9"/>
  <c r="Q41" i="9" s="1"/>
  <c r="K26" i="9"/>
  <c r="Q26" i="9" s="1"/>
  <c r="K44" i="8"/>
  <c r="Q44" i="8" s="1"/>
  <c r="K51" i="10"/>
  <c r="K44" i="10"/>
  <c r="Q44" i="10" s="1"/>
  <c r="K26" i="10"/>
  <c r="Q26" i="10" s="1"/>
  <c r="K17" i="10"/>
  <c r="Q17" i="10" s="1"/>
  <c r="K10" i="10"/>
  <c r="K11" i="9"/>
  <c r="Q11" i="9" s="1"/>
  <c r="K58" i="8"/>
  <c r="Q58" i="8" s="1"/>
  <c r="K56" i="8"/>
  <c r="Q56" i="8" s="1"/>
  <c r="K24" i="8"/>
  <c r="Q24" i="8" s="1"/>
  <c r="K21" i="8"/>
  <c r="Q21" i="8" s="1"/>
  <c r="K40" i="7"/>
  <c r="Q40" i="7" s="1"/>
  <c r="K30" i="7"/>
  <c r="Q30" i="7" s="1"/>
  <c r="K22" i="7"/>
  <c r="Q22" i="7" s="1"/>
  <c r="K14" i="7"/>
  <c r="Q14" i="7" s="1"/>
  <c r="K55" i="6"/>
  <c r="Q55" i="6" s="1"/>
  <c r="K58" i="11"/>
  <c r="Q58" i="11" s="1"/>
  <c r="K48" i="10"/>
  <c r="Q48" i="10" s="1"/>
  <c r="K19" i="10"/>
  <c r="K56" i="9"/>
  <c r="Q56" i="9" s="1"/>
  <c r="K49" i="9"/>
  <c r="Q49" i="9" s="1"/>
  <c r="K30" i="9"/>
  <c r="Q30" i="9" s="1"/>
  <c r="K25" i="9"/>
  <c r="Q25" i="9" s="1"/>
  <c r="K48" i="8"/>
  <c r="Q48" i="8" s="1"/>
  <c r="K35" i="8"/>
  <c r="Q35" i="8" s="1"/>
  <c r="K60" i="7"/>
  <c r="K49" i="7"/>
  <c r="Q49" i="7" s="1"/>
  <c r="K54" i="6"/>
  <c r="Q54" i="6" s="1"/>
  <c r="K41" i="6"/>
  <c r="Q41" i="6" s="1"/>
  <c r="K31" i="6"/>
  <c r="Q31" i="6" s="1"/>
  <c r="K30" i="6"/>
  <c r="Q30" i="6" s="1"/>
  <c r="K29" i="6"/>
  <c r="Q29" i="6" s="1"/>
  <c r="K26" i="6"/>
  <c r="Q26" i="6" s="1"/>
  <c r="K22" i="6"/>
  <c r="Q22" i="6" s="1"/>
  <c r="K26" i="12"/>
  <c r="Q26" i="12" s="1"/>
  <c r="K42" i="11"/>
  <c r="Q42" i="11" s="1"/>
  <c r="K36" i="11"/>
  <c r="Q36" i="11" s="1"/>
  <c r="K22" i="11"/>
  <c r="Q22" i="11" s="1"/>
  <c r="K12" i="11"/>
  <c r="Q12" i="11" s="1"/>
  <c r="K30" i="10"/>
  <c r="Q30" i="10" s="1"/>
  <c r="K58" i="9"/>
  <c r="Q58" i="9" s="1"/>
  <c r="K42" i="9"/>
  <c r="Q42" i="9" s="1"/>
  <c r="K40" i="9"/>
  <c r="Q40" i="9" s="1"/>
  <c r="K28" i="9"/>
  <c r="K19" i="9"/>
  <c r="K14" i="9"/>
  <c r="K46" i="8"/>
  <c r="K42" i="8"/>
  <c r="Q42" i="8" s="1"/>
  <c r="K40" i="8"/>
  <c r="Q40" i="8" s="1"/>
  <c r="K58" i="7"/>
  <c r="Q58" i="7" s="1"/>
  <c r="K57" i="7"/>
  <c r="Q57" i="7" s="1"/>
  <c r="K39" i="7"/>
  <c r="Q39" i="7" s="1"/>
  <c r="K38" i="7"/>
  <c r="Q38" i="7" s="1"/>
  <c r="K29" i="7"/>
  <c r="Q29" i="7" s="1"/>
  <c r="K26" i="7"/>
  <c r="Q26" i="7" s="1"/>
  <c r="K21" i="7"/>
  <c r="Q21" i="7" s="1"/>
  <c r="K20" i="7"/>
  <c r="Q20" i="7" s="1"/>
  <c r="K13" i="7"/>
  <c r="Q13" i="7" s="1"/>
  <c r="K53" i="6"/>
  <c r="Q53" i="6" s="1"/>
  <c r="K49" i="6"/>
  <c r="Q49" i="6" s="1"/>
  <c r="K40" i="6"/>
  <c r="Q40" i="6" s="1"/>
  <c r="K36" i="6"/>
  <c r="Q36" i="6" s="1"/>
  <c r="K29" i="12"/>
  <c r="Q29" i="12" s="1"/>
  <c r="K21" i="11"/>
  <c r="Q21" i="11" s="1"/>
  <c r="K47" i="10"/>
  <c r="Q47" i="10" s="1"/>
  <c r="K25" i="10"/>
  <c r="Q25" i="10" s="1"/>
  <c r="K57" i="8"/>
  <c r="Q57" i="8" s="1"/>
  <c r="K36" i="8"/>
  <c r="Q36" i="8" s="1"/>
  <c r="K19" i="8"/>
  <c r="K16" i="8"/>
  <c r="Q16" i="8" s="1"/>
  <c r="K14" i="8"/>
  <c r="Q14" i="8" s="1"/>
  <c r="K11" i="8"/>
  <c r="Q11" i="8" s="1"/>
  <c r="K10" i="8"/>
  <c r="K55" i="7"/>
  <c r="Q55" i="7" s="1"/>
  <c r="K52" i="7"/>
  <c r="Q52" i="7" s="1"/>
  <c r="K51" i="7"/>
  <c r="K46" i="7"/>
  <c r="K24" i="7"/>
  <c r="Q24" i="7" s="1"/>
  <c r="K19" i="7"/>
  <c r="K17" i="7"/>
  <c r="Q17" i="7" s="1"/>
  <c r="K58" i="6"/>
  <c r="Q58" i="6" s="1"/>
  <c r="K47" i="6"/>
  <c r="Q47" i="6" s="1"/>
  <c r="K44" i="6"/>
  <c r="Q44" i="6" s="1"/>
  <c r="K38" i="6"/>
  <c r="K35" i="6"/>
  <c r="Q35" i="6" s="1"/>
  <c r="K25" i="6"/>
  <c r="Q25" i="6" s="1"/>
  <c r="K51" i="11"/>
  <c r="K40" i="10"/>
  <c r="Q40" i="10" s="1"/>
  <c r="K20" i="10"/>
  <c r="Q20" i="10" s="1"/>
  <c r="K11" i="10"/>
  <c r="Q11" i="10" s="1"/>
  <c r="K48" i="9"/>
  <c r="Q48" i="9" s="1"/>
  <c r="K24" i="9"/>
  <c r="Q24" i="9" s="1"/>
  <c r="K60" i="8"/>
  <c r="K49" i="8"/>
  <c r="Q49" i="8" s="1"/>
  <c r="K20" i="8"/>
  <c r="Q20" i="8" s="1"/>
  <c r="K43" i="7"/>
  <c r="K23" i="7"/>
  <c r="Q23" i="7" s="1"/>
  <c r="K16" i="7"/>
  <c r="Q16" i="7" s="1"/>
  <c r="K58" i="10"/>
  <c r="Q58" i="10" s="1"/>
  <c r="K46" i="10"/>
  <c r="K23" i="10"/>
  <c r="Q23" i="10" s="1"/>
  <c r="K23" i="8"/>
  <c r="Q23" i="8" s="1"/>
  <c r="K28" i="7"/>
  <c r="K11" i="7"/>
  <c r="Q11" i="7" s="1"/>
  <c r="K56" i="6"/>
  <c r="Q56" i="6" s="1"/>
  <c r="K48" i="6"/>
  <c r="Q48" i="6" s="1"/>
  <c r="K19" i="6"/>
  <c r="K12" i="6"/>
  <c r="Q12" i="6" s="1"/>
  <c r="K60" i="5"/>
  <c r="K58" i="5"/>
  <c r="Q58" i="5" s="1"/>
  <c r="K56" i="5"/>
  <c r="Q56" i="5" s="1"/>
  <c r="K55" i="5"/>
  <c r="K35" i="11"/>
  <c r="Q35" i="11" s="1"/>
  <c r="K22" i="10"/>
  <c r="Q22" i="10" s="1"/>
  <c r="K29" i="9"/>
  <c r="Q29" i="9" s="1"/>
  <c r="K13" i="9"/>
  <c r="Q13" i="9" s="1"/>
  <c r="K54" i="7"/>
  <c r="Q54" i="7" s="1"/>
  <c r="K47" i="7"/>
  <c r="Q47" i="7" s="1"/>
  <c r="K60" i="6"/>
  <c r="K52" i="6"/>
  <c r="Q52" i="6" s="1"/>
  <c r="K34" i="6"/>
  <c r="K16" i="6"/>
  <c r="Q16" i="6" s="1"/>
  <c r="K11" i="6"/>
  <c r="Q11" i="6" s="1"/>
  <c r="K57" i="5"/>
  <c r="Q57" i="5" s="1"/>
  <c r="K54" i="5"/>
  <c r="Q54" i="5" s="1"/>
  <c r="K53" i="5"/>
  <c r="Q53" i="5" s="1"/>
  <c r="K52" i="5"/>
  <c r="Q52" i="5" s="1"/>
  <c r="K51" i="5"/>
  <c r="Q51" i="5" s="1"/>
  <c r="K23" i="12"/>
  <c r="Q23" i="12" s="1"/>
  <c r="K54" i="11"/>
  <c r="Q54" i="11" s="1"/>
  <c r="K20" i="9"/>
  <c r="Q20" i="9" s="1"/>
  <c r="K12" i="9"/>
  <c r="Q12" i="9" s="1"/>
  <c r="K41" i="8"/>
  <c r="Q41" i="8" s="1"/>
  <c r="K22" i="8"/>
  <c r="Q22" i="8" s="1"/>
  <c r="K13" i="8"/>
  <c r="Q13" i="8" s="1"/>
  <c r="K34" i="7"/>
  <c r="K32" i="7"/>
  <c r="Q32" i="7" s="1"/>
  <c r="K15" i="7"/>
  <c r="Q15" i="7" s="1"/>
  <c r="K15" i="6"/>
  <c r="Q15" i="6" s="1"/>
  <c r="K60" i="10"/>
  <c r="K26" i="8"/>
  <c r="Q26" i="8" s="1"/>
  <c r="K56" i="7"/>
  <c r="Q56" i="7" s="1"/>
  <c r="K36" i="7"/>
  <c r="Q36" i="7" s="1"/>
  <c r="K57" i="6"/>
  <c r="Q57" i="6" s="1"/>
  <c r="K24" i="6"/>
  <c r="Q24" i="6" s="1"/>
  <c r="K23" i="6"/>
  <c r="Q23" i="6" s="1"/>
  <c r="K31" i="10"/>
  <c r="Q31" i="10" s="1"/>
  <c r="K25" i="8"/>
  <c r="Q25" i="8" s="1"/>
  <c r="K15" i="8"/>
  <c r="Q15" i="8" s="1"/>
  <c r="K53" i="7"/>
  <c r="Q53" i="7" s="1"/>
  <c r="K42" i="7"/>
  <c r="Q42" i="7" s="1"/>
  <c r="K25" i="7"/>
  <c r="Q25" i="7" s="1"/>
  <c r="K12" i="7"/>
  <c r="Q12" i="7" s="1"/>
  <c r="K46" i="6"/>
  <c r="K42" i="6"/>
  <c r="Q42" i="6" s="1"/>
  <c r="K39" i="6"/>
  <c r="Q39" i="6" s="1"/>
  <c r="K44" i="5"/>
  <c r="Q44" i="5" s="1"/>
  <c r="K43" i="5"/>
  <c r="Q43" i="5" s="1"/>
  <c r="K49" i="10"/>
  <c r="Q49" i="10" s="1"/>
  <c r="K53" i="9"/>
  <c r="Q53" i="9" s="1"/>
  <c r="K12" i="8"/>
  <c r="Q12" i="8" s="1"/>
  <c r="K44" i="7"/>
  <c r="Q44" i="7" s="1"/>
  <c r="K43" i="6"/>
  <c r="Q43" i="6" s="1"/>
  <c r="K21" i="6"/>
  <c r="Q21" i="6" s="1"/>
  <c r="K31" i="7"/>
  <c r="Q31" i="7" s="1"/>
  <c r="K51" i="6"/>
  <c r="K10" i="6"/>
  <c r="K36" i="5"/>
  <c r="Q36" i="5" s="1"/>
  <c r="K35" i="5"/>
  <c r="Q35" i="5" s="1"/>
  <c r="K32" i="5"/>
  <c r="Q32" i="5" s="1"/>
  <c r="K19" i="5"/>
  <c r="K14" i="5"/>
  <c r="Q14" i="5" s="1"/>
  <c r="K53" i="4"/>
  <c r="Q53" i="4" s="1"/>
  <c r="K49" i="4"/>
  <c r="Q49" i="4" s="1"/>
  <c r="K44" i="4"/>
  <c r="Q44" i="4" s="1"/>
  <c r="K43" i="4"/>
  <c r="Q43" i="4" s="1"/>
  <c r="K42" i="4"/>
  <c r="K25" i="4"/>
  <c r="Q25" i="4" s="1"/>
  <c r="K13" i="4"/>
  <c r="Q13" i="4" s="1"/>
  <c r="K39" i="8"/>
  <c r="Q39" i="8" s="1"/>
  <c r="K15" i="5"/>
  <c r="Q15" i="5" s="1"/>
  <c r="K29" i="10"/>
  <c r="Q29" i="10" s="1"/>
  <c r="K17" i="8"/>
  <c r="Q17" i="8" s="1"/>
  <c r="K48" i="7"/>
  <c r="Q48" i="7" s="1"/>
  <c r="K10" i="7"/>
  <c r="K14" i="6"/>
  <c r="Q14" i="6" s="1"/>
  <c r="K31" i="5"/>
  <c r="Q31" i="5" s="1"/>
  <c r="K13" i="5"/>
  <c r="Q13" i="5" s="1"/>
  <c r="K12" i="5"/>
  <c r="Q12" i="5" s="1"/>
  <c r="K28" i="4"/>
  <c r="K46" i="5"/>
  <c r="K15" i="4"/>
  <c r="Q15" i="4" s="1"/>
  <c r="K47" i="5"/>
  <c r="Q47" i="5" s="1"/>
  <c r="K34" i="5"/>
  <c r="K26" i="5"/>
  <c r="Q26" i="5" s="1"/>
  <c r="K11" i="5"/>
  <c r="Q11" i="5" s="1"/>
  <c r="K60" i="4"/>
  <c r="K58" i="4"/>
  <c r="Q58" i="4" s="1"/>
  <c r="K52" i="4"/>
  <c r="Q52" i="4" s="1"/>
  <c r="K51" i="4"/>
  <c r="K48" i="4"/>
  <c r="Q48" i="4" s="1"/>
  <c r="K47" i="4"/>
  <c r="Q47" i="4" s="1"/>
  <c r="K46" i="4"/>
  <c r="K41" i="4"/>
  <c r="Q41" i="4" s="1"/>
  <c r="K24" i="4"/>
  <c r="Q24" i="4" s="1"/>
  <c r="K23" i="4"/>
  <c r="Q23" i="4" s="1"/>
  <c r="K22" i="4"/>
  <c r="Q22" i="4" s="1"/>
  <c r="K12" i="4"/>
  <c r="Q12" i="4" s="1"/>
  <c r="K11" i="4"/>
  <c r="Q11" i="4" s="1"/>
  <c r="K10" i="4"/>
  <c r="K22" i="5"/>
  <c r="Q22" i="5" s="1"/>
  <c r="K34" i="9"/>
  <c r="K32" i="8"/>
  <c r="Q32" i="8" s="1"/>
  <c r="K41" i="7"/>
  <c r="Q41" i="7" s="1"/>
  <c r="K35" i="7"/>
  <c r="Q35" i="7" s="1"/>
  <c r="K40" i="5"/>
  <c r="Q40" i="5" s="1"/>
  <c r="K39" i="5"/>
  <c r="Q39" i="5" s="1"/>
  <c r="K30" i="5"/>
  <c r="K25" i="5"/>
  <c r="Q25" i="5" s="1"/>
  <c r="K24" i="5"/>
  <c r="Q24" i="5" s="1"/>
  <c r="K40" i="4"/>
  <c r="Q40" i="4" s="1"/>
  <c r="K36" i="4"/>
  <c r="Q36" i="4" s="1"/>
  <c r="K28" i="6"/>
  <c r="K49" i="5"/>
  <c r="Q49" i="5" s="1"/>
  <c r="K41" i="5"/>
  <c r="Q41" i="5" s="1"/>
  <c r="K38" i="5"/>
  <c r="K29" i="5"/>
  <c r="Q29" i="5" s="1"/>
  <c r="K28" i="5"/>
  <c r="Q28" i="5" s="1"/>
  <c r="K23" i="5"/>
  <c r="Q23" i="5" s="1"/>
  <c r="K10" i="5"/>
  <c r="K57" i="4"/>
  <c r="Q57" i="4" s="1"/>
  <c r="K56" i="4"/>
  <c r="Q56" i="4" s="1"/>
  <c r="K39" i="4"/>
  <c r="Q39" i="4" s="1"/>
  <c r="K35" i="4"/>
  <c r="Q35" i="4" s="1"/>
  <c r="K32" i="4"/>
  <c r="Q32" i="4" s="1"/>
  <c r="K21" i="4"/>
  <c r="Q21" i="4" s="1"/>
  <c r="K17" i="4"/>
  <c r="Q17" i="4" s="1"/>
  <c r="K55" i="4"/>
  <c r="Q55" i="4" s="1"/>
  <c r="K30" i="4"/>
  <c r="Q30" i="4" s="1"/>
  <c r="K43" i="8"/>
  <c r="Q43" i="8" s="1"/>
  <c r="K32" i="6"/>
  <c r="Q32" i="6" s="1"/>
  <c r="K13" i="6"/>
  <c r="Q13" i="6" s="1"/>
  <c r="K42" i="5"/>
  <c r="Q42" i="5" s="1"/>
  <c r="K17" i="5"/>
  <c r="Q17" i="5" s="1"/>
  <c r="K16" i="5"/>
  <c r="Q16" i="5" s="1"/>
  <c r="K38" i="4"/>
  <c r="Q38" i="4" s="1"/>
  <c r="K34" i="4"/>
  <c r="K31" i="4"/>
  <c r="Q31" i="4" s="1"/>
  <c r="K20" i="4"/>
  <c r="Q20" i="4" s="1"/>
  <c r="K16" i="4"/>
  <c r="Q16" i="4" s="1"/>
  <c r="K19" i="4"/>
  <c r="K13" i="10"/>
  <c r="Q13" i="10" s="1"/>
  <c r="K17" i="6"/>
  <c r="Q17" i="6" s="1"/>
  <c r="K26" i="4"/>
  <c r="Q26" i="4" s="1"/>
  <c r="K21" i="5"/>
  <c r="Q21" i="5" s="1"/>
  <c r="K14" i="4"/>
  <c r="Q14" i="4" s="1"/>
  <c r="K20" i="6"/>
  <c r="Q20" i="6" s="1"/>
  <c r="K20" i="5"/>
  <c r="Q20" i="5" s="1"/>
  <c r="K54" i="4"/>
  <c r="Q54" i="4" s="1"/>
  <c r="K29" i="4"/>
  <c r="Q29" i="4" s="1"/>
  <c r="K47" i="8"/>
  <c r="Q47" i="8" s="1"/>
  <c r="K48" i="5"/>
  <c r="Q48" i="5" s="1"/>
  <c r="P51" i="16"/>
  <c r="R42" i="2"/>
  <c r="Y42" i="2" s="1"/>
  <c r="R20" i="2"/>
  <c r="Y20" i="2" s="1"/>
  <c r="S12" i="2"/>
  <c r="Z12" i="2" s="1"/>
  <c r="N48" i="3"/>
  <c r="T48" i="3" s="1"/>
  <c r="N20" i="3"/>
  <c r="T20" i="3" s="1"/>
  <c r="N13" i="3"/>
  <c r="T13" i="3" s="1"/>
  <c r="N42" i="3"/>
  <c r="T42" i="3" s="1"/>
  <c r="N14" i="3"/>
  <c r="T14" i="3" s="1"/>
  <c r="N60" i="3"/>
  <c r="N57" i="3"/>
  <c r="T57" i="3" s="1"/>
  <c r="N53" i="3"/>
  <c r="T53" i="3" s="1"/>
  <c r="N46" i="3"/>
  <c r="N43" i="3"/>
  <c r="T43" i="3" s="1"/>
  <c r="N39" i="3"/>
  <c r="T39" i="3" s="1"/>
  <c r="N36" i="3"/>
  <c r="T36" i="3" s="1"/>
  <c r="N29" i="3"/>
  <c r="T29" i="3" s="1"/>
  <c r="N26" i="3"/>
  <c r="T26" i="3" s="1"/>
  <c r="N22" i="3"/>
  <c r="T22" i="3" s="1"/>
  <c r="N15" i="3"/>
  <c r="T15" i="3" s="1"/>
  <c r="N11" i="3"/>
  <c r="T11" i="3" s="1"/>
  <c r="N54" i="3"/>
  <c r="T54" i="3" s="1"/>
  <c r="N47" i="3"/>
  <c r="T47" i="3" s="1"/>
  <c r="N55" i="3"/>
  <c r="T55" i="3" s="1"/>
  <c r="N51" i="3"/>
  <c r="N10" i="3"/>
  <c r="N44" i="3"/>
  <c r="T44" i="3" s="1"/>
  <c r="N23" i="3"/>
  <c r="T23" i="3" s="1"/>
  <c r="N16" i="3"/>
  <c r="T16" i="3" s="1"/>
  <c r="N12" i="3"/>
  <c r="T12" i="3" s="1"/>
  <c r="N41" i="3"/>
  <c r="T41" i="3" s="1"/>
  <c r="N25" i="3"/>
  <c r="T25" i="3" s="1"/>
  <c r="N58" i="3"/>
  <c r="T58" i="3" s="1"/>
  <c r="N40" i="3"/>
  <c r="T40" i="3" s="1"/>
  <c r="N30" i="3"/>
  <c r="T30" i="3" s="1"/>
  <c r="N19" i="3"/>
  <c r="N31" i="3"/>
  <c r="T31" i="3" s="1"/>
  <c r="N24" i="3"/>
  <c r="T24" i="3" s="1"/>
  <c r="N38" i="3"/>
  <c r="N32" i="3"/>
  <c r="T32" i="3" s="1"/>
  <c r="N21" i="3"/>
  <c r="T21" i="3" s="1"/>
  <c r="N34" i="3"/>
  <c r="N17" i="3"/>
  <c r="T17" i="3" s="1"/>
  <c r="N56" i="3"/>
  <c r="T56" i="3" s="1"/>
  <c r="N52" i="3"/>
  <c r="T52" i="3" s="1"/>
  <c r="N49" i="3"/>
  <c r="T49" i="3" s="1"/>
  <c r="N35" i="3"/>
  <c r="T35" i="3" s="1"/>
  <c r="N28" i="3"/>
  <c r="R12" i="2"/>
  <c r="Y12" i="2" s="1"/>
  <c r="M56" i="3"/>
  <c r="S56" i="3" s="1"/>
  <c r="M52" i="3"/>
  <c r="S52" i="3" s="1"/>
  <c r="M49" i="3"/>
  <c r="S49" i="3" s="1"/>
  <c r="M42" i="3"/>
  <c r="S42" i="3" s="1"/>
  <c r="M38" i="3"/>
  <c r="M35" i="3"/>
  <c r="S35" i="3" s="1"/>
  <c r="M32" i="3"/>
  <c r="S32" i="3" s="1"/>
  <c r="M28" i="3"/>
  <c r="M25" i="3"/>
  <c r="S25" i="3" s="1"/>
  <c r="M21" i="3"/>
  <c r="S21" i="3" s="1"/>
  <c r="M14" i="3"/>
  <c r="S14" i="3" s="1"/>
  <c r="M10" i="3"/>
  <c r="M60" i="3"/>
  <c r="M57" i="3"/>
  <c r="S57" i="3" s="1"/>
  <c r="M53" i="3"/>
  <c r="S53" i="3" s="1"/>
  <c r="M46" i="3"/>
  <c r="M43" i="3"/>
  <c r="S43" i="3" s="1"/>
  <c r="M39" i="3"/>
  <c r="S39" i="3" s="1"/>
  <c r="M36" i="3"/>
  <c r="S36" i="3" s="1"/>
  <c r="M29" i="3"/>
  <c r="S29" i="3" s="1"/>
  <c r="M26" i="3"/>
  <c r="S26" i="3" s="1"/>
  <c r="M22" i="3"/>
  <c r="S22" i="3" s="1"/>
  <c r="M15" i="3"/>
  <c r="S15" i="3" s="1"/>
  <c r="M11" i="3"/>
  <c r="S11" i="3" s="1"/>
  <c r="M58" i="3"/>
  <c r="S58" i="3" s="1"/>
  <c r="M54" i="3"/>
  <c r="S54" i="3" s="1"/>
  <c r="M47" i="3"/>
  <c r="S47" i="3" s="1"/>
  <c r="M44" i="3"/>
  <c r="S44" i="3" s="1"/>
  <c r="M40" i="3"/>
  <c r="S40" i="3" s="1"/>
  <c r="M30" i="3"/>
  <c r="S30" i="3" s="1"/>
  <c r="M23" i="3"/>
  <c r="S23" i="3" s="1"/>
  <c r="M19" i="3"/>
  <c r="M16" i="3"/>
  <c r="S16" i="3" s="1"/>
  <c r="M12" i="3"/>
  <c r="S12" i="3" s="1"/>
  <c r="M55" i="3"/>
  <c r="S55" i="3" s="1"/>
  <c r="M51" i="3"/>
  <c r="M48" i="3"/>
  <c r="S48" i="3" s="1"/>
  <c r="M41" i="3"/>
  <c r="S41" i="3" s="1"/>
  <c r="M34" i="3"/>
  <c r="M31" i="3"/>
  <c r="S31" i="3" s="1"/>
  <c r="M24" i="3"/>
  <c r="S24" i="3" s="1"/>
  <c r="M20" i="3"/>
  <c r="S20" i="3" s="1"/>
  <c r="M17" i="3"/>
  <c r="S17" i="3" s="1"/>
  <c r="M13" i="3"/>
  <c r="S13" i="3" s="1"/>
  <c r="O10" i="2"/>
  <c r="K55" i="3"/>
  <c r="Q55" i="3" s="1"/>
  <c r="K51" i="3"/>
  <c r="K48" i="3"/>
  <c r="Q48" i="3" s="1"/>
  <c r="K41" i="3"/>
  <c r="Q41" i="3" s="1"/>
  <c r="K34" i="3"/>
  <c r="K31" i="3"/>
  <c r="Q31" i="3" s="1"/>
  <c r="K24" i="3"/>
  <c r="Q24" i="3" s="1"/>
  <c r="K20" i="3"/>
  <c r="Q20" i="3" s="1"/>
  <c r="K17" i="3"/>
  <c r="Q17" i="3" s="1"/>
  <c r="K13" i="3"/>
  <c r="Q13" i="3" s="1"/>
  <c r="K56" i="3"/>
  <c r="Q56" i="3" s="1"/>
  <c r="K52" i="3"/>
  <c r="Q52" i="3" s="1"/>
  <c r="K49" i="3"/>
  <c r="Q49" i="3" s="1"/>
  <c r="K42" i="3"/>
  <c r="Q42" i="3" s="1"/>
  <c r="K38" i="3"/>
  <c r="K35" i="3"/>
  <c r="Q35" i="3" s="1"/>
  <c r="K32" i="3"/>
  <c r="Q32" i="3" s="1"/>
  <c r="K28" i="3"/>
  <c r="K25" i="3"/>
  <c r="Q25" i="3" s="1"/>
  <c r="K21" i="3"/>
  <c r="Q21" i="3" s="1"/>
  <c r="K14" i="3"/>
  <c r="Q14" i="3" s="1"/>
  <c r="K10" i="3"/>
  <c r="K60" i="3"/>
  <c r="K57" i="3"/>
  <c r="Q57" i="3" s="1"/>
  <c r="K53" i="3"/>
  <c r="Q53" i="3" s="1"/>
  <c r="K46" i="3"/>
  <c r="K43" i="3"/>
  <c r="Q43" i="3" s="1"/>
  <c r="K39" i="3"/>
  <c r="Q39" i="3" s="1"/>
  <c r="K36" i="3"/>
  <c r="Q36" i="3" s="1"/>
  <c r="K29" i="3"/>
  <c r="Q29" i="3" s="1"/>
  <c r="K26" i="3"/>
  <c r="Q26" i="3" s="1"/>
  <c r="K22" i="3"/>
  <c r="Q22" i="3" s="1"/>
  <c r="K15" i="3"/>
  <c r="Q15" i="3" s="1"/>
  <c r="K11" i="3"/>
  <c r="Q11" i="3" s="1"/>
  <c r="K58" i="3"/>
  <c r="Q58" i="3" s="1"/>
  <c r="K54" i="3"/>
  <c r="Q54" i="3" s="1"/>
  <c r="K47" i="3"/>
  <c r="Q47" i="3" s="1"/>
  <c r="K44" i="3"/>
  <c r="Q44" i="3" s="1"/>
  <c r="K40" i="3"/>
  <c r="Q40" i="3" s="1"/>
  <c r="K30" i="3"/>
  <c r="Q30" i="3" s="1"/>
  <c r="K23" i="3"/>
  <c r="Q23" i="3" s="1"/>
  <c r="K19" i="3"/>
  <c r="K16" i="3"/>
  <c r="Q16" i="3" s="1"/>
  <c r="K12" i="3"/>
  <c r="Q12" i="3" s="1"/>
  <c r="Q12" i="2"/>
  <c r="X12" i="2" s="1"/>
  <c r="L30" i="3"/>
  <c r="R30" i="3" s="1"/>
  <c r="L31" i="3"/>
  <c r="R31" i="3" s="1"/>
  <c r="L20" i="3"/>
  <c r="R20" i="3" s="1"/>
  <c r="L56" i="3"/>
  <c r="R56" i="3" s="1"/>
  <c r="L52" i="3"/>
  <c r="R52" i="3" s="1"/>
  <c r="L49" i="3"/>
  <c r="R49" i="3" s="1"/>
  <c r="L42" i="3"/>
  <c r="R42" i="3" s="1"/>
  <c r="L38" i="3"/>
  <c r="L35" i="3"/>
  <c r="R35" i="3" s="1"/>
  <c r="L32" i="3"/>
  <c r="R32" i="3" s="1"/>
  <c r="L28" i="3"/>
  <c r="L25" i="3"/>
  <c r="R25" i="3" s="1"/>
  <c r="L21" i="3"/>
  <c r="R21" i="3" s="1"/>
  <c r="L14" i="3"/>
  <c r="R14" i="3" s="1"/>
  <c r="L10" i="3"/>
  <c r="L57" i="3"/>
  <c r="R57" i="3" s="1"/>
  <c r="L43" i="3"/>
  <c r="R43" i="3" s="1"/>
  <c r="L39" i="3"/>
  <c r="R39" i="3" s="1"/>
  <c r="L29" i="3"/>
  <c r="R29" i="3" s="1"/>
  <c r="L15" i="3"/>
  <c r="R15" i="3" s="1"/>
  <c r="L11" i="3"/>
  <c r="R11" i="3" s="1"/>
  <c r="L12" i="3"/>
  <c r="R12" i="3" s="1"/>
  <c r="L60" i="3"/>
  <c r="L53" i="3"/>
  <c r="R53" i="3" s="1"/>
  <c r="L22" i="3"/>
  <c r="R22" i="3" s="1"/>
  <c r="L54" i="3"/>
  <c r="R54" i="3" s="1"/>
  <c r="L44" i="3"/>
  <c r="R44" i="3" s="1"/>
  <c r="L23" i="3"/>
  <c r="R23" i="3" s="1"/>
  <c r="L16" i="3"/>
  <c r="R16" i="3" s="1"/>
  <c r="L46" i="3"/>
  <c r="L36" i="3"/>
  <c r="R36" i="3" s="1"/>
  <c r="L26" i="3"/>
  <c r="R26" i="3" s="1"/>
  <c r="L40" i="3"/>
  <c r="R40" i="3" s="1"/>
  <c r="L19" i="3"/>
  <c r="L13" i="3"/>
  <c r="R13" i="3" s="1"/>
  <c r="L58" i="3"/>
  <c r="R58" i="3" s="1"/>
  <c r="L47" i="3"/>
  <c r="R47" i="3" s="1"/>
  <c r="L34" i="3"/>
  <c r="L55" i="3"/>
  <c r="R55" i="3" s="1"/>
  <c r="L51" i="3"/>
  <c r="L48" i="3"/>
  <c r="R48" i="3" s="1"/>
  <c r="L41" i="3"/>
  <c r="R41" i="3" s="1"/>
  <c r="L24" i="3"/>
  <c r="R24" i="3" s="1"/>
  <c r="L17" i="3"/>
  <c r="R17" i="3" s="1"/>
  <c r="R53" i="2"/>
  <c r="Y53" i="2" s="1"/>
  <c r="S58" i="2"/>
  <c r="Z58" i="2" s="1"/>
  <c r="R26" i="2"/>
  <c r="Y26" i="2" s="1"/>
  <c r="R56" i="2"/>
  <c r="Y56" i="2" s="1"/>
  <c r="R47" i="2"/>
  <c r="Y47" i="2" s="1"/>
  <c r="R54" i="2"/>
  <c r="Y54" i="2" s="1"/>
  <c r="R16" i="2"/>
  <c r="Y16" i="2" s="1"/>
  <c r="R58" i="2"/>
  <c r="Y58" i="2" s="1"/>
  <c r="R49" i="2"/>
  <c r="Y49" i="2" s="1"/>
  <c r="R24" i="2"/>
  <c r="Y24" i="2" s="1"/>
  <c r="T16" i="1"/>
  <c r="V16" i="1" s="1"/>
  <c r="R21" i="2"/>
  <c r="Y21" i="2" s="1"/>
  <c r="R29" i="2"/>
  <c r="Y29" i="2" s="1"/>
  <c r="R23" i="2"/>
  <c r="Y23" i="2" s="1"/>
  <c r="R41" i="2"/>
  <c r="Y41" i="2" s="1"/>
  <c r="R44" i="2"/>
  <c r="Y44" i="2" s="1"/>
  <c r="O19" i="2"/>
  <c r="W19" i="2" s="1"/>
  <c r="Q10" i="2"/>
  <c r="X10" i="2" s="1"/>
  <c r="O14" i="2"/>
  <c r="W14" i="2" s="1"/>
  <c r="Q47" i="2"/>
  <c r="X47" i="2" s="1"/>
  <c r="O15" i="2"/>
  <c r="W15" i="2" s="1"/>
  <c r="S25" i="2"/>
  <c r="Z25" i="2" s="1"/>
  <c r="O58" i="2"/>
  <c r="W58" i="2" s="1"/>
  <c r="S36" i="2"/>
  <c r="Z36" i="2" s="1"/>
  <c r="S17" i="2"/>
  <c r="Z17" i="2" s="1"/>
  <c r="S42" i="2"/>
  <c r="Z42" i="2" s="1"/>
  <c r="S31" i="2"/>
  <c r="Z31" i="2" s="1"/>
  <c r="S20" i="2"/>
  <c r="Z20" i="2" s="1"/>
  <c r="S54" i="2"/>
  <c r="Z54" i="2" s="1"/>
  <c r="S24" i="2"/>
  <c r="Z24" i="2" s="1"/>
  <c r="S60" i="2"/>
  <c r="T15" i="1"/>
  <c r="V15" i="1" s="1"/>
  <c r="R17" i="2"/>
  <c r="Y17" i="2" s="1"/>
  <c r="R14" i="2"/>
  <c r="Y14" i="2" s="1"/>
  <c r="R25" i="2"/>
  <c r="Y25" i="2" s="1"/>
  <c r="R30" i="2"/>
  <c r="Y30" i="2" s="1"/>
  <c r="R35" i="2"/>
  <c r="Y35" i="2" s="1"/>
  <c r="R60" i="2"/>
  <c r="Y60" i="2" s="1"/>
  <c r="Y59" i="2" s="1"/>
  <c r="U15" i="1"/>
  <c r="W15" i="1" s="1"/>
  <c r="R10" i="2"/>
  <c r="Y10" i="2" s="1"/>
  <c r="R15" i="2"/>
  <c r="Y15" i="2" s="1"/>
  <c r="R36" i="2"/>
  <c r="Y36" i="2" s="1"/>
  <c r="R51" i="2"/>
  <c r="Y51" i="2" s="1"/>
  <c r="R40" i="2"/>
  <c r="Y40" i="2" s="1"/>
  <c r="R19" i="2"/>
  <c r="Y19" i="2" s="1"/>
  <c r="Q55" i="2"/>
  <c r="X55" i="2" s="1"/>
  <c r="U16" i="1"/>
  <c r="W16" i="1" s="1"/>
  <c r="R28" i="2"/>
  <c r="Y28" i="2" s="1"/>
  <c r="R48" i="2"/>
  <c r="Y48" i="2" s="1"/>
  <c r="R46" i="2"/>
  <c r="Y46" i="2" s="1"/>
  <c r="R32" i="2"/>
  <c r="Y32" i="2" s="1"/>
  <c r="R13" i="2"/>
  <c r="Y13" i="2" s="1"/>
  <c r="R57" i="2"/>
  <c r="Y57" i="2" s="1"/>
  <c r="Q35" i="2"/>
  <c r="X35" i="2" s="1"/>
  <c r="R34" i="2"/>
  <c r="Y34" i="2" s="1"/>
  <c r="R55" i="2"/>
  <c r="Y55" i="2" s="1"/>
  <c r="R52" i="2"/>
  <c r="Y52" i="2" s="1"/>
  <c r="R11" i="2"/>
  <c r="Y11" i="2" s="1"/>
  <c r="R22" i="2"/>
  <c r="Y22" i="2" s="1"/>
  <c r="Q44" i="2"/>
  <c r="X44" i="2" s="1"/>
  <c r="S28" i="2"/>
  <c r="Z28" i="2" s="1"/>
  <c r="S55" i="2"/>
  <c r="Z55" i="2" s="1"/>
  <c r="S34" i="2"/>
  <c r="Z34" i="2" s="1"/>
  <c r="S51" i="2"/>
  <c r="Z51" i="2" s="1"/>
  <c r="P20" i="2"/>
  <c r="P54" i="2"/>
  <c r="O22" i="2"/>
  <c r="W22" i="2" s="1"/>
  <c r="O24" i="2"/>
  <c r="W24" i="2" s="1"/>
  <c r="O28" i="2"/>
  <c r="W28" i="2" s="1"/>
  <c r="O55" i="2"/>
  <c r="W55" i="2" s="1"/>
  <c r="P46" i="2"/>
  <c r="P47" i="2"/>
  <c r="P30" i="2"/>
  <c r="P42" i="2"/>
  <c r="O42" i="2"/>
  <c r="W42" i="2" s="1"/>
  <c r="O44" i="2"/>
  <c r="W44" i="2" s="1"/>
  <c r="O34" i="2"/>
  <c r="W34" i="2" s="1"/>
  <c r="P55" i="2"/>
  <c r="P56" i="2"/>
  <c r="O31" i="2"/>
  <c r="W31" i="2" s="1"/>
  <c r="O39" i="2"/>
  <c r="W39" i="2" s="1"/>
  <c r="P22" i="2"/>
  <c r="P23" i="2"/>
  <c r="P13" i="2"/>
  <c r="P19" i="2"/>
  <c r="O47" i="2"/>
  <c r="W47" i="2" s="1"/>
  <c r="O21" i="2"/>
  <c r="W21" i="2" s="1"/>
  <c r="O56" i="2"/>
  <c r="W56" i="2" s="1"/>
  <c r="P14" i="2"/>
  <c r="P24" i="2"/>
  <c r="T14" i="1"/>
  <c r="V14" i="1" s="1"/>
  <c r="O60" i="2"/>
  <c r="W60" i="2" s="1"/>
  <c r="W59" i="2" s="1"/>
  <c r="O52" i="2"/>
  <c r="W52" i="2" s="1"/>
  <c r="P32" i="2"/>
  <c r="P44" i="2"/>
  <c r="P10" i="2"/>
  <c r="U14" i="1"/>
  <c r="W14" i="1" s="1"/>
  <c r="O11" i="2"/>
  <c r="W11" i="2" s="1"/>
  <c r="O57" i="2"/>
  <c r="W57" i="2" s="1"/>
  <c r="O16" i="2"/>
  <c r="W16" i="2" s="1"/>
  <c r="P15" i="2"/>
  <c r="P28" i="2"/>
  <c r="P26" i="2"/>
  <c r="S10" i="1"/>
  <c r="S9" i="1" s="1"/>
  <c r="S23" i="2"/>
  <c r="Z23" i="2" s="1"/>
  <c r="S47" i="2"/>
  <c r="Z47" i="2" s="1"/>
  <c r="S21" i="2"/>
  <c r="Z21" i="2" s="1"/>
  <c r="S30" i="2"/>
  <c r="Z30" i="2" s="1"/>
  <c r="S11" i="2"/>
  <c r="Z11" i="2" s="1"/>
  <c r="S19" i="2"/>
  <c r="Z19" i="2" s="1"/>
  <c r="S39" i="2"/>
  <c r="Z39" i="2" s="1"/>
  <c r="S15" i="2"/>
  <c r="Z15" i="2" s="1"/>
  <c r="S41" i="2"/>
  <c r="Z41" i="2" s="1"/>
  <c r="S16" i="2"/>
  <c r="Z16" i="2" s="1"/>
  <c r="S29" i="2"/>
  <c r="Z29" i="2" s="1"/>
  <c r="S49" i="2"/>
  <c r="Z49" i="2" s="1"/>
  <c r="S43" i="2"/>
  <c r="Z43" i="2" s="1"/>
  <c r="S13" i="2"/>
  <c r="Z13" i="2" s="1"/>
  <c r="S46" i="2"/>
  <c r="Z46" i="2" s="1"/>
  <c r="S48" i="2"/>
  <c r="Z48" i="2" s="1"/>
  <c r="S35" i="2"/>
  <c r="Z35" i="2" s="1"/>
  <c r="S57" i="2"/>
  <c r="Z57" i="2" s="1"/>
  <c r="S56" i="2"/>
  <c r="Z56" i="2" s="1"/>
  <c r="S22" i="2"/>
  <c r="Z22" i="2" s="1"/>
  <c r="S52" i="2"/>
  <c r="Z52" i="2" s="1"/>
  <c r="S26" i="2"/>
  <c r="Z26" i="2" s="1"/>
  <c r="S40" i="2"/>
  <c r="Z40" i="2" s="1"/>
  <c r="T17" i="1"/>
  <c r="V17" i="1" s="1"/>
  <c r="S10" i="2"/>
  <c r="Z10" i="2" s="1"/>
  <c r="S14" i="2"/>
  <c r="Z14" i="2" s="1"/>
  <c r="S32" i="2"/>
  <c r="Z32" i="2" s="1"/>
  <c r="S53" i="2"/>
  <c r="Z53" i="2" s="1"/>
  <c r="S38" i="2"/>
  <c r="Z38" i="2" s="1"/>
  <c r="S44" i="2"/>
  <c r="Z44" i="2" s="1"/>
  <c r="O13" i="2"/>
  <c r="W13" i="2" s="1"/>
  <c r="O54" i="2"/>
  <c r="W54" i="2" s="1"/>
  <c r="O20" i="2"/>
  <c r="W20" i="2" s="1"/>
  <c r="O49" i="2"/>
  <c r="W49" i="2" s="1"/>
  <c r="O43" i="2"/>
  <c r="W43" i="2" s="1"/>
  <c r="O48" i="2"/>
  <c r="W48" i="2" s="1"/>
  <c r="Q48" i="2"/>
  <c r="X48" i="2" s="1"/>
  <c r="Q21" i="2"/>
  <c r="X21" i="2" s="1"/>
  <c r="O26" i="2"/>
  <c r="W26" i="2" s="1"/>
  <c r="O29" i="2"/>
  <c r="W29" i="2" s="1"/>
  <c r="O36" i="2"/>
  <c r="W36" i="2" s="1"/>
  <c r="O25" i="2"/>
  <c r="W25" i="2" s="1"/>
  <c r="Q38" i="2"/>
  <c r="X38" i="2" s="1"/>
  <c r="O12" i="2"/>
  <c r="W12" i="2" s="1"/>
  <c r="O32" i="2"/>
  <c r="W32" i="2" s="1"/>
  <c r="O30" i="2"/>
  <c r="W30" i="2" s="1"/>
  <c r="O35" i="2"/>
  <c r="W35" i="2" s="1"/>
  <c r="O41" i="2"/>
  <c r="W41" i="2" s="1"/>
  <c r="O17" i="2"/>
  <c r="W17" i="2" s="1"/>
  <c r="O53" i="2"/>
  <c r="W53" i="2" s="1"/>
  <c r="U13" i="1"/>
  <c r="W13" i="1" s="1"/>
  <c r="T13" i="1"/>
  <c r="V13" i="1" s="1"/>
  <c r="O38" i="2"/>
  <c r="W38" i="2" s="1"/>
  <c r="O51" i="2"/>
  <c r="W51" i="2" s="1"/>
  <c r="O40" i="2"/>
  <c r="W40" i="2" s="1"/>
  <c r="O46" i="2"/>
  <c r="W46" i="2" s="1"/>
  <c r="O23" i="2"/>
  <c r="W23" i="2" s="1"/>
  <c r="Q58" i="2"/>
  <c r="X58" i="2" s="1"/>
  <c r="Q54" i="2"/>
  <c r="X54" i="2" s="1"/>
  <c r="Q57" i="2"/>
  <c r="X57" i="2" s="1"/>
  <c r="P51" i="2"/>
  <c r="P41" i="2"/>
  <c r="P38" i="2"/>
  <c r="P11" i="2"/>
  <c r="P49" i="2"/>
  <c r="P29" i="2"/>
  <c r="Q41" i="2"/>
  <c r="X41" i="2" s="1"/>
  <c r="Q39" i="2"/>
  <c r="X39" i="2" s="1"/>
  <c r="P35" i="2"/>
  <c r="P34" i="2"/>
  <c r="P31" i="2"/>
  <c r="P48" i="2"/>
  <c r="Q15" i="2"/>
  <c r="X15" i="2" s="1"/>
  <c r="Q52" i="2"/>
  <c r="X52" i="2" s="1"/>
  <c r="Q56" i="2"/>
  <c r="X56" i="2" s="1"/>
  <c r="P17" i="2"/>
  <c r="P25" i="2"/>
  <c r="P60" i="2"/>
  <c r="P59" i="2" s="1"/>
  <c r="P43" i="2"/>
  <c r="Q16" i="2"/>
  <c r="X16" i="2" s="1"/>
  <c r="Q42" i="2"/>
  <c r="X42" i="2" s="1"/>
  <c r="Q31" i="2"/>
  <c r="X31" i="2" s="1"/>
  <c r="Q40" i="2"/>
  <c r="X40" i="2" s="1"/>
  <c r="Q60" i="2"/>
  <c r="Q43" i="2"/>
  <c r="X43" i="2" s="1"/>
  <c r="P36" i="2"/>
  <c r="P16" i="2"/>
  <c r="P58" i="2"/>
  <c r="Q13" i="2"/>
  <c r="X13" i="2" s="1"/>
  <c r="Q25" i="2"/>
  <c r="X25" i="2" s="1"/>
  <c r="Q11" i="2"/>
  <c r="X11" i="2" s="1"/>
  <c r="Q36" i="2"/>
  <c r="X36" i="2" s="1"/>
  <c r="Q17" i="2"/>
  <c r="X17" i="2" s="1"/>
  <c r="P12" i="2"/>
  <c r="Q22" i="2"/>
  <c r="X22" i="2" s="1"/>
  <c r="Q53" i="2"/>
  <c r="X53" i="2" s="1"/>
  <c r="Q20" i="2"/>
  <c r="X20" i="2" s="1"/>
  <c r="Q46" i="2"/>
  <c r="X46" i="2" s="1"/>
  <c r="Q23" i="2"/>
  <c r="X23" i="2" s="1"/>
  <c r="P52" i="2"/>
  <c r="P39" i="2"/>
  <c r="P21" i="2"/>
  <c r="Q26" i="2"/>
  <c r="X26" i="2" s="1"/>
  <c r="Q30" i="2"/>
  <c r="X30" i="2" s="1"/>
  <c r="Q24" i="2"/>
  <c r="X24" i="2" s="1"/>
  <c r="Q19" i="2"/>
  <c r="X19" i="2" s="1"/>
  <c r="Q28" i="2"/>
  <c r="X28" i="2" s="1"/>
  <c r="Q14" i="2"/>
  <c r="X14" i="2" s="1"/>
  <c r="Q32" i="2"/>
  <c r="X32" i="2" s="1"/>
  <c r="Q51" i="2"/>
  <c r="X51" i="2" s="1"/>
  <c r="Q29" i="2"/>
  <c r="X29" i="2" s="1"/>
  <c r="Q49" i="2"/>
  <c r="X49" i="2" s="1"/>
  <c r="Q34" i="2"/>
  <c r="X34" i="2" s="1"/>
  <c r="P53" i="2"/>
  <c r="P57" i="2"/>
  <c r="P60" i="6" l="1"/>
  <c r="P59" i="6" s="1"/>
  <c r="O60" i="14"/>
  <c r="P33" i="3"/>
  <c r="I59" i="9"/>
  <c r="U27" i="2"/>
  <c r="J33" i="7"/>
  <c r="P60" i="3"/>
  <c r="P59" i="3" s="1"/>
  <c r="I59" i="3"/>
  <c r="V27" i="2"/>
  <c r="I59" i="7"/>
  <c r="V37" i="2"/>
  <c r="X12" i="1"/>
  <c r="N37" i="2"/>
  <c r="P60" i="15"/>
  <c r="P59" i="15" s="1"/>
  <c r="M59" i="2"/>
  <c r="U45" i="2"/>
  <c r="V33" i="2"/>
  <c r="O60" i="5"/>
  <c r="O59" i="5" s="1"/>
  <c r="U50" i="2"/>
  <c r="X11" i="1"/>
  <c r="V45" i="2"/>
  <c r="V18" i="2"/>
  <c r="V50" i="2"/>
  <c r="M45" i="2"/>
  <c r="N59" i="2"/>
  <c r="N33" i="2"/>
  <c r="I37" i="5"/>
  <c r="N45" i="2"/>
  <c r="J27" i="3"/>
  <c r="I45" i="8"/>
  <c r="O33" i="5"/>
  <c r="J27" i="7"/>
  <c r="J33" i="3"/>
  <c r="I33" i="7"/>
  <c r="U37" i="2"/>
  <c r="U33" i="2"/>
  <c r="N18" i="2"/>
  <c r="N50" i="2"/>
  <c r="U18" i="2"/>
  <c r="N27" i="2"/>
  <c r="I37" i="13"/>
  <c r="M37" i="2"/>
  <c r="M27" i="2"/>
  <c r="I45" i="9"/>
  <c r="I27" i="4"/>
  <c r="M50" i="2"/>
  <c r="I50" i="8"/>
  <c r="J59" i="8"/>
  <c r="I37" i="6"/>
  <c r="I50" i="5"/>
  <c r="M33" i="2"/>
  <c r="N9" i="2"/>
  <c r="I33" i="10"/>
  <c r="O60" i="10"/>
  <c r="O59" i="10" s="1"/>
  <c r="V9" i="2"/>
  <c r="I27" i="5"/>
  <c r="M18" i="2"/>
  <c r="M9" i="2"/>
  <c r="I37" i="3"/>
  <c r="J45" i="3"/>
  <c r="I45" i="15"/>
  <c r="O60" i="6"/>
  <c r="O59" i="6" s="1"/>
  <c r="I45" i="10"/>
  <c r="P45" i="3"/>
  <c r="I27" i="8"/>
  <c r="O37" i="5"/>
  <c r="I33" i="3"/>
  <c r="I18" i="8"/>
  <c r="I37" i="8"/>
  <c r="I27" i="7"/>
  <c r="P60" i="10"/>
  <c r="P59" i="10" s="1"/>
  <c r="P9" i="3"/>
  <c r="I59" i="4"/>
  <c r="I18" i="11"/>
  <c r="O46" i="10"/>
  <c r="O45" i="10" s="1"/>
  <c r="I27" i="9"/>
  <c r="I18" i="7"/>
  <c r="J50" i="3"/>
  <c r="I27" i="3"/>
  <c r="I33" i="9"/>
  <c r="I33" i="8"/>
  <c r="I9" i="11"/>
  <c r="P18" i="12"/>
  <c r="P50" i="3"/>
  <c r="P27" i="3"/>
  <c r="I33" i="4"/>
  <c r="I33" i="5"/>
  <c r="I27" i="6"/>
  <c r="J59" i="7"/>
  <c r="I45" i="3"/>
  <c r="P60" i="13"/>
  <c r="P59" i="13" s="1"/>
  <c r="I37" i="11"/>
  <c r="J59" i="11"/>
  <c r="I9" i="3"/>
  <c r="I9" i="10"/>
  <c r="I45" i="5"/>
  <c r="I45" i="4"/>
  <c r="I18" i="9"/>
  <c r="I33" i="11"/>
  <c r="I9" i="5"/>
  <c r="I50" i="10"/>
  <c r="I33" i="6"/>
  <c r="I9" i="4"/>
  <c r="J27" i="11"/>
  <c r="J9" i="5"/>
  <c r="P28" i="7"/>
  <c r="P27" i="7" s="1"/>
  <c r="J18" i="3"/>
  <c r="I37" i="10"/>
  <c r="I45" i="11"/>
  <c r="O60" i="15"/>
  <c r="O59" i="15" s="1"/>
  <c r="I45" i="7"/>
  <c r="P18" i="3"/>
  <c r="I59" i="8"/>
  <c r="I45" i="6"/>
  <c r="O60" i="11"/>
  <c r="O59" i="11" s="1"/>
  <c r="J9" i="3"/>
  <c r="I9" i="7"/>
  <c r="I37" i="4"/>
  <c r="I18" i="4"/>
  <c r="I9" i="6"/>
  <c r="J37" i="3"/>
  <c r="I50" i="3"/>
  <c r="I50" i="7"/>
  <c r="I27" i="10"/>
  <c r="I37" i="12"/>
  <c r="J33" i="6"/>
  <c r="I33" i="14"/>
  <c r="P37" i="3"/>
  <c r="P10" i="5"/>
  <c r="P9" i="5" s="1"/>
  <c r="I37" i="9"/>
  <c r="O60" i="12"/>
  <c r="O59" i="12" s="1"/>
  <c r="I18" i="5"/>
  <c r="I50" i="11"/>
  <c r="I18" i="10"/>
  <c r="I50" i="6"/>
  <c r="I45" i="12"/>
  <c r="P50" i="4"/>
  <c r="I59" i="13"/>
  <c r="I9" i="8"/>
  <c r="P45" i="9"/>
  <c r="J50" i="4"/>
  <c r="I27" i="14"/>
  <c r="I50" i="4"/>
  <c r="I18" i="3"/>
  <c r="I9" i="14"/>
  <c r="J45" i="9"/>
  <c r="I50" i="9"/>
  <c r="I37" i="7"/>
  <c r="I18" i="6"/>
  <c r="I33" i="12"/>
  <c r="P33" i="7"/>
  <c r="I9" i="9"/>
  <c r="I50" i="16"/>
  <c r="I33" i="13"/>
  <c r="J37" i="9"/>
  <c r="I27" i="13"/>
  <c r="I9" i="12"/>
  <c r="I37" i="14"/>
  <c r="O46" i="12"/>
  <c r="O45" i="12" s="1"/>
  <c r="I18" i="14"/>
  <c r="P60" i="14"/>
  <c r="P59" i="14" s="1"/>
  <c r="I45" i="14"/>
  <c r="I18" i="16"/>
  <c r="I27" i="11"/>
  <c r="O34" i="12"/>
  <c r="O33" i="12" s="1"/>
  <c r="I50" i="12"/>
  <c r="I33" i="15"/>
  <c r="J37" i="7"/>
  <c r="I27" i="12"/>
  <c r="P60" i="12"/>
  <c r="P59" i="12" s="1"/>
  <c r="I18" i="13"/>
  <c r="I9" i="16"/>
  <c r="I18" i="12"/>
  <c r="P37" i="7"/>
  <c r="I45" i="13"/>
  <c r="I9" i="15"/>
  <c r="P50" i="10"/>
  <c r="I50" i="14"/>
  <c r="P34" i="6"/>
  <c r="P33" i="6" s="1"/>
  <c r="P18" i="7"/>
  <c r="J33" i="4"/>
  <c r="I50" i="13"/>
  <c r="U57" i="9"/>
  <c r="J9" i="4"/>
  <c r="J45" i="8"/>
  <c r="P33" i="10"/>
  <c r="J27" i="6"/>
  <c r="J45" i="14"/>
  <c r="P33" i="13"/>
  <c r="P45" i="12"/>
  <c r="P9" i="6"/>
  <c r="J33" i="10"/>
  <c r="I37" i="15"/>
  <c r="O9" i="15"/>
  <c r="P27" i="5"/>
  <c r="J18" i="10"/>
  <c r="O18" i="15"/>
  <c r="P9" i="4"/>
  <c r="O50" i="13"/>
  <c r="I27" i="15"/>
  <c r="J37" i="8"/>
  <c r="I18" i="15"/>
  <c r="J37" i="5"/>
  <c r="I50" i="15"/>
  <c r="P34" i="4"/>
  <c r="P33" i="4" s="1"/>
  <c r="P37" i="8"/>
  <c r="J50" i="7"/>
  <c r="P37" i="5"/>
  <c r="I33" i="16"/>
  <c r="J50" i="10"/>
  <c r="J9" i="8"/>
  <c r="P50" i="7"/>
  <c r="I45" i="16"/>
  <c r="J27" i="14"/>
  <c r="P18" i="8"/>
  <c r="I9" i="13"/>
  <c r="P27" i="14"/>
  <c r="J18" i="5"/>
  <c r="J33" i="11"/>
  <c r="J50" i="6"/>
  <c r="J50" i="15"/>
  <c r="J9" i="9"/>
  <c r="P46" i="14"/>
  <c r="P45" i="14" s="1"/>
  <c r="J9" i="7"/>
  <c r="J45" i="5"/>
  <c r="J33" i="5"/>
  <c r="P50" i="13"/>
  <c r="J45" i="7"/>
  <c r="P18" i="5"/>
  <c r="P45" i="7"/>
  <c r="P50" i="6"/>
  <c r="J33" i="9"/>
  <c r="P28" i="6"/>
  <c r="P27" i="6" s="1"/>
  <c r="J33" i="13"/>
  <c r="P9" i="7"/>
  <c r="P45" i="5"/>
  <c r="P60" i="5"/>
  <c r="P59" i="5" s="1"/>
  <c r="J45" i="4"/>
  <c r="J27" i="4"/>
  <c r="J59" i="4"/>
  <c r="I37" i="16"/>
  <c r="U41" i="10"/>
  <c r="P18" i="6"/>
  <c r="P45" i="4"/>
  <c r="P27" i="4"/>
  <c r="P37" i="9"/>
  <c r="P33" i="14"/>
  <c r="J37" i="6"/>
  <c r="J27" i="5"/>
  <c r="J50" i="13"/>
  <c r="P37" i="11"/>
  <c r="J33" i="8"/>
  <c r="J18" i="6"/>
  <c r="J18" i="7"/>
  <c r="J45" i="10"/>
  <c r="P45" i="10"/>
  <c r="J45" i="12"/>
  <c r="J59" i="9"/>
  <c r="P60" i="16"/>
  <c r="P59" i="16" s="1"/>
  <c r="J9" i="10"/>
  <c r="J18" i="4"/>
  <c r="P37" i="4"/>
  <c r="J33" i="14"/>
  <c r="P37" i="6"/>
  <c r="J27" i="9"/>
  <c r="J50" i="5"/>
  <c r="P33" i="11"/>
  <c r="P50" i="15"/>
  <c r="P9" i="8"/>
  <c r="J9" i="6"/>
  <c r="P33" i="9"/>
  <c r="I27" i="16"/>
  <c r="P9" i="10"/>
  <c r="P18" i="4"/>
  <c r="P18" i="10"/>
  <c r="J37" i="4"/>
  <c r="P37" i="13"/>
  <c r="P27" i="9"/>
  <c r="P9" i="13"/>
  <c r="P33" i="5"/>
  <c r="J27" i="8"/>
  <c r="P18" i="9"/>
  <c r="P34" i="8"/>
  <c r="P33" i="8" s="1"/>
  <c r="P27" i="8"/>
  <c r="P45" i="6"/>
  <c r="J18" i="9"/>
  <c r="J45" i="6"/>
  <c r="P33" i="12"/>
  <c r="J27" i="12"/>
  <c r="P50" i="16"/>
  <c r="P27" i="11"/>
  <c r="P27" i="13"/>
  <c r="J50" i="16"/>
  <c r="P50" i="9"/>
  <c r="J27" i="13"/>
  <c r="J18" i="12"/>
  <c r="J50" i="9"/>
  <c r="P45" i="8"/>
  <c r="J18" i="8"/>
  <c r="P50" i="5"/>
  <c r="U39" i="11"/>
  <c r="U44" i="15"/>
  <c r="P37" i="12"/>
  <c r="J27" i="10"/>
  <c r="P37" i="10"/>
  <c r="P27" i="10"/>
  <c r="J37" i="10"/>
  <c r="J50" i="8"/>
  <c r="P18" i="14"/>
  <c r="J9" i="15"/>
  <c r="P50" i="8"/>
  <c r="P50" i="12"/>
  <c r="J9" i="11"/>
  <c r="J18" i="11"/>
  <c r="P9" i="11"/>
  <c r="P18" i="11"/>
  <c r="J50" i="14"/>
  <c r="P18" i="16"/>
  <c r="J33" i="12"/>
  <c r="J9" i="12"/>
  <c r="P50" i="14"/>
  <c r="J18" i="16"/>
  <c r="P28" i="12"/>
  <c r="P27" i="12" s="1"/>
  <c r="P9" i="12"/>
  <c r="J45" i="11"/>
  <c r="P9" i="9"/>
  <c r="J37" i="11"/>
  <c r="J9" i="13"/>
  <c r="J37" i="12"/>
  <c r="P45" i="11"/>
  <c r="J9" i="14"/>
  <c r="J33" i="15"/>
  <c r="P45" i="13"/>
  <c r="P33" i="15"/>
  <c r="P9" i="14"/>
  <c r="P18" i="13"/>
  <c r="J18" i="14"/>
  <c r="J18" i="13"/>
  <c r="J37" i="14"/>
  <c r="P50" i="11"/>
  <c r="J50" i="12"/>
  <c r="P37" i="14"/>
  <c r="J45" i="15"/>
  <c r="J45" i="13"/>
  <c r="P37" i="16"/>
  <c r="P45" i="15"/>
  <c r="P27" i="15"/>
  <c r="J27" i="15"/>
  <c r="P9" i="15"/>
  <c r="J50" i="11"/>
  <c r="P33" i="16"/>
  <c r="J33" i="16"/>
  <c r="J45" i="16"/>
  <c r="P45" i="16"/>
  <c r="J27" i="16"/>
  <c r="P9" i="16"/>
  <c r="P18" i="15"/>
  <c r="P27" i="16"/>
  <c r="J18" i="15"/>
  <c r="J37" i="13"/>
  <c r="U57" i="13"/>
  <c r="U30" i="16"/>
  <c r="U16" i="12"/>
  <c r="U31" i="12"/>
  <c r="J37" i="16"/>
  <c r="U31" i="4"/>
  <c r="U43" i="8"/>
  <c r="U55" i="6"/>
  <c r="U44" i="14"/>
  <c r="U48" i="16"/>
  <c r="U52" i="5"/>
  <c r="J37" i="15"/>
  <c r="U30" i="9"/>
  <c r="U32" i="12"/>
  <c r="P37" i="15"/>
  <c r="J9" i="16"/>
  <c r="U23" i="14"/>
  <c r="U31" i="11"/>
  <c r="U30" i="10"/>
  <c r="U30" i="8"/>
  <c r="U15" i="11"/>
  <c r="U36" i="13"/>
  <c r="U48" i="7"/>
  <c r="U52" i="6"/>
  <c r="U42" i="8"/>
  <c r="U56" i="14"/>
  <c r="U26" i="8"/>
  <c r="U14" i="13"/>
  <c r="U48" i="10"/>
  <c r="U23" i="16"/>
  <c r="U22" i="8"/>
  <c r="U23" i="8"/>
  <c r="U17" i="10"/>
  <c r="U13" i="10"/>
  <c r="U14" i="5"/>
  <c r="U25" i="8"/>
  <c r="U13" i="9"/>
  <c r="U36" i="8"/>
  <c r="U39" i="7"/>
  <c r="U42" i="11"/>
  <c r="U56" i="9"/>
  <c r="U40" i="7"/>
  <c r="U55" i="8"/>
  <c r="U57" i="12"/>
  <c r="U17" i="15"/>
  <c r="U17" i="16"/>
  <c r="U39" i="15"/>
  <c r="U58" i="15"/>
  <c r="U26" i="16"/>
  <c r="U32" i="16"/>
  <c r="U32" i="11"/>
  <c r="U13" i="14"/>
  <c r="U52" i="16"/>
  <c r="U22" i="5"/>
  <c r="U31" i="5"/>
  <c r="U13" i="4"/>
  <c r="U58" i="10"/>
  <c r="U57" i="7"/>
  <c r="U22" i="9"/>
  <c r="U47" i="12"/>
  <c r="U20" i="11"/>
  <c r="U21" i="16"/>
  <c r="U16" i="6"/>
  <c r="U48" i="6"/>
  <c r="U49" i="11"/>
  <c r="U57" i="14"/>
  <c r="U36" i="16"/>
  <c r="U39" i="6"/>
  <c r="U16" i="9"/>
  <c r="U55" i="13"/>
  <c r="U20" i="5"/>
  <c r="U13" i="6"/>
  <c r="U14" i="6"/>
  <c r="U15" i="7"/>
  <c r="U54" i="11"/>
  <c r="U16" i="7"/>
  <c r="U11" i="10"/>
  <c r="U55" i="7"/>
  <c r="U53" i="12"/>
  <c r="U55" i="14"/>
  <c r="U42" i="15"/>
  <c r="U30" i="13"/>
  <c r="U44" i="13"/>
  <c r="U43" i="14"/>
  <c r="U30" i="15"/>
  <c r="U26" i="15"/>
  <c r="U25" i="16"/>
  <c r="U31" i="16"/>
  <c r="U40" i="9"/>
  <c r="U12" i="12"/>
  <c r="U53" i="15"/>
  <c r="U58" i="11"/>
  <c r="U23" i="15"/>
  <c r="U56" i="10"/>
  <c r="U12" i="13"/>
  <c r="U35" i="5"/>
  <c r="U35" i="11"/>
  <c r="U36" i="9"/>
  <c r="U43" i="10"/>
  <c r="U47" i="11"/>
  <c r="U41" i="12"/>
  <c r="U17" i="12"/>
  <c r="U36" i="12"/>
  <c r="U52" i="13"/>
  <c r="U26" i="14"/>
  <c r="U55" i="16"/>
  <c r="U29" i="7"/>
  <c r="U53" i="8"/>
  <c r="U32" i="14"/>
  <c r="U35" i="15"/>
  <c r="U41" i="8"/>
  <c r="U49" i="12"/>
  <c r="U29" i="12"/>
  <c r="U32" i="15"/>
  <c r="U21" i="9"/>
  <c r="U16" i="13"/>
  <c r="U58" i="13"/>
  <c r="U11" i="14"/>
  <c r="U47" i="15"/>
  <c r="U24" i="15"/>
  <c r="U49" i="10"/>
  <c r="U42" i="7"/>
  <c r="U12" i="11"/>
  <c r="U41" i="13"/>
  <c r="U16" i="16"/>
  <c r="U36" i="4"/>
  <c r="U58" i="4"/>
  <c r="U53" i="5"/>
  <c r="U47" i="7"/>
  <c r="U24" i="7"/>
  <c r="U36" i="6"/>
  <c r="U55" i="9"/>
  <c r="U47" i="9"/>
  <c r="U11" i="13"/>
  <c r="U17" i="4"/>
  <c r="U23" i="5"/>
  <c r="U24" i="4"/>
  <c r="U54" i="7"/>
  <c r="U24" i="13"/>
  <c r="U15" i="16"/>
  <c r="U31" i="10"/>
  <c r="U29" i="9"/>
  <c r="U44" i="10"/>
  <c r="U57" i="10"/>
  <c r="U48" i="11"/>
  <c r="U25" i="13"/>
  <c r="U39" i="14"/>
  <c r="AA30" i="2"/>
  <c r="AB30" i="2" s="1"/>
  <c r="AA47" i="2"/>
  <c r="AB47" i="2" s="1"/>
  <c r="AA55" i="2"/>
  <c r="AB55" i="2" s="1"/>
  <c r="U14" i="4"/>
  <c r="U56" i="4"/>
  <c r="U12" i="4"/>
  <c r="U15" i="4"/>
  <c r="U25" i="7"/>
  <c r="U40" i="10"/>
  <c r="U17" i="7"/>
  <c r="U11" i="8"/>
  <c r="U29" i="6"/>
  <c r="U53" i="10"/>
  <c r="U29" i="8"/>
  <c r="U57" i="11"/>
  <c r="U54" i="10"/>
  <c r="U53" i="11"/>
  <c r="U40" i="12"/>
  <c r="U12" i="14"/>
  <c r="U40" i="13"/>
  <c r="U31" i="15"/>
  <c r="U15" i="15"/>
  <c r="U47" i="14"/>
  <c r="U13" i="16"/>
  <c r="U53" i="16"/>
  <c r="U12" i="7"/>
  <c r="U47" i="10"/>
  <c r="U11" i="15"/>
  <c r="U41" i="9"/>
  <c r="U44" i="9"/>
  <c r="U56" i="13"/>
  <c r="U25" i="15"/>
  <c r="U49" i="4"/>
  <c r="U24" i="11"/>
  <c r="U58" i="14"/>
  <c r="U49" i="14"/>
  <c r="U54" i="16"/>
  <c r="U44" i="12"/>
  <c r="U54" i="14"/>
  <c r="U17" i="6"/>
  <c r="U32" i="8"/>
  <c r="U29" i="4"/>
  <c r="U21" i="4"/>
  <c r="U24" i="5"/>
  <c r="U41" i="4"/>
  <c r="U11" i="5"/>
  <c r="U13" i="5"/>
  <c r="U21" i="6"/>
  <c r="U12" i="9"/>
  <c r="U24" i="9"/>
  <c r="U54" i="6"/>
  <c r="U26" i="10"/>
  <c r="U17" i="9"/>
  <c r="U52" i="9"/>
  <c r="U43" i="12"/>
  <c r="U15" i="13"/>
  <c r="U20" i="13"/>
  <c r="U17" i="13"/>
  <c r="U22" i="16"/>
  <c r="U48" i="15"/>
  <c r="U14" i="15"/>
  <c r="U31" i="14"/>
  <c r="U17" i="14"/>
  <c r="U32" i="6"/>
  <c r="U16" i="5"/>
  <c r="U29" i="5"/>
  <c r="U25" i="5"/>
  <c r="U26" i="5"/>
  <c r="U57" i="8"/>
  <c r="U23" i="13"/>
  <c r="U40" i="3"/>
  <c r="U24" i="3"/>
  <c r="U14" i="8"/>
  <c r="U43" i="11"/>
  <c r="U31" i="8"/>
  <c r="U24" i="12"/>
  <c r="U16" i="14"/>
  <c r="U54" i="13"/>
  <c r="U52" i="14"/>
  <c r="U52" i="7"/>
  <c r="U25" i="6"/>
  <c r="U41" i="7"/>
  <c r="U29" i="10"/>
  <c r="U43" i="5"/>
  <c r="U56" i="7"/>
  <c r="U22" i="11"/>
  <c r="U31" i="6"/>
  <c r="U22" i="7"/>
  <c r="U54" i="9"/>
  <c r="U22" i="12"/>
  <c r="U24" i="14"/>
  <c r="U55" i="15"/>
  <c r="AA41" i="2"/>
  <c r="AB41" i="2" s="1"/>
  <c r="U20" i="3"/>
  <c r="U15" i="5"/>
  <c r="U53" i="4"/>
  <c r="U31" i="7"/>
  <c r="U54" i="5"/>
  <c r="U36" i="11"/>
  <c r="U30" i="7"/>
  <c r="U15" i="9"/>
  <c r="U15" i="10"/>
  <c r="U42" i="12"/>
  <c r="U25" i="12"/>
  <c r="U48" i="12"/>
  <c r="U58" i="12"/>
  <c r="U25" i="14"/>
  <c r="U57" i="15"/>
  <c r="U36" i="15"/>
  <c r="U17" i="5"/>
  <c r="U57" i="5"/>
  <c r="U26" i="11"/>
  <c r="U52" i="12"/>
  <c r="U20" i="15"/>
  <c r="U43" i="16"/>
  <c r="U16" i="3"/>
  <c r="U54" i="4"/>
  <c r="U11" i="6"/>
  <c r="U53" i="6"/>
  <c r="U31" i="13"/>
  <c r="U22" i="14"/>
  <c r="U24" i="16"/>
  <c r="U35" i="16"/>
  <c r="U56" i="16"/>
  <c r="U39" i="8"/>
  <c r="U49" i="6"/>
  <c r="U36" i="10"/>
  <c r="U16" i="4"/>
  <c r="U35" i="4"/>
  <c r="U47" i="4"/>
  <c r="U44" i="7"/>
  <c r="U25" i="10"/>
  <c r="U13" i="7"/>
  <c r="U58" i="7"/>
  <c r="U42" i="9"/>
  <c r="U22" i="6"/>
  <c r="U24" i="8"/>
  <c r="U35" i="9"/>
  <c r="U23" i="9"/>
  <c r="U42" i="10"/>
  <c r="U15" i="12"/>
  <c r="U32" i="13"/>
  <c r="U26" i="4"/>
  <c r="U26" i="6"/>
  <c r="U41" i="6"/>
  <c r="U53" i="7"/>
  <c r="U25" i="9"/>
  <c r="U17" i="11"/>
  <c r="U21" i="12"/>
  <c r="U11" i="12"/>
  <c r="U14" i="14"/>
  <c r="U22" i="15"/>
  <c r="U15" i="6"/>
  <c r="U21" i="7"/>
  <c r="U35" i="6"/>
  <c r="U23" i="11"/>
  <c r="U44" i="11"/>
  <c r="U47" i="13"/>
  <c r="U49" i="13"/>
  <c r="U49" i="15"/>
  <c r="U12" i="10"/>
  <c r="AA48" i="2"/>
  <c r="AB48" i="2" s="1"/>
  <c r="AA16" i="2"/>
  <c r="AB16" i="2" s="1"/>
  <c r="U26" i="3"/>
  <c r="U55" i="3"/>
  <c r="U20" i="10"/>
  <c r="U40" i="8"/>
  <c r="U56" i="8"/>
  <c r="U35" i="10"/>
  <c r="U52" i="10"/>
  <c r="U32" i="9"/>
  <c r="U40" i="11"/>
  <c r="U52" i="11"/>
  <c r="U14" i="16"/>
  <c r="U44" i="16"/>
  <c r="U29" i="16"/>
  <c r="U25" i="4"/>
  <c r="U20" i="6"/>
  <c r="U39" i="5"/>
  <c r="U47" i="5"/>
  <c r="U57" i="6"/>
  <c r="U16" i="10"/>
  <c r="U49" i="7"/>
  <c r="U52" i="8"/>
  <c r="U25" i="11"/>
  <c r="U53" i="13"/>
  <c r="U42" i="13"/>
  <c r="U21" i="13"/>
  <c r="U29" i="15"/>
  <c r="U49" i="16"/>
  <c r="X37" i="2"/>
  <c r="AA32" i="2"/>
  <c r="AB32" i="2" s="1"/>
  <c r="AA52" i="2"/>
  <c r="AB52" i="2" s="1"/>
  <c r="AA34" i="2"/>
  <c r="AB34" i="2" s="1"/>
  <c r="AA28" i="2"/>
  <c r="AB28" i="2" s="1"/>
  <c r="Z27" i="2"/>
  <c r="AA15" i="2"/>
  <c r="AB15" i="2" s="1"/>
  <c r="U39" i="3"/>
  <c r="U21" i="3"/>
  <c r="U52" i="3"/>
  <c r="U43" i="6"/>
  <c r="U20" i="9"/>
  <c r="U44" i="6"/>
  <c r="U26" i="12"/>
  <c r="U32" i="10"/>
  <c r="U30" i="11"/>
  <c r="U20" i="12"/>
  <c r="U26" i="13"/>
  <c r="U29" i="13"/>
  <c r="U58" i="3"/>
  <c r="U11" i="11"/>
  <c r="U55" i="11"/>
  <c r="U48" i="13"/>
  <c r="U54" i="15"/>
  <c r="U42" i="14"/>
  <c r="AA51" i="2"/>
  <c r="AB51" i="2" s="1"/>
  <c r="AA43" i="2"/>
  <c r="AB43" i="2" s="1"/>
  <c r="AA57" i="2"/>
  <c r="AB57" i="2" s="1"/>
  <c r="AA42" i="2"/>
  <c r="AB42" i="2" s="1"/>
  <c r="AA22" i="2"/>
  <c r="AB22" i="2" s="1"/>
  <c r="U20" i="4"/>
  <c r="U39" i="4"/>
  <c r="U41" i="5"/>
  <c r="U11" i="4"/>
  <c r="U48" i="4"/>
  <c r="U12" i="8"/>
  <c r="U32" i="7"/>
  <c r="U23" i="12"/>
  <c r="U56" i="6"/>
  <c r="U23" i="7"/>
  <c r="U20" i="7"/>
  <c r="U58" i="9"/>
  <c r="U44" i="8"/>
  <c r="U43" i="9"/>
  <c r="U56" i="11"/>
  <c r="U43" i="13"/>
  <c r="U21" i="15"/>
  <c r="AA44" i="2"/>
  <c r="AB44" i="2" s="1"/>
  <c r="U31" i="9"/>
  <c r="AA53" i="2"/>
  <c r="AB53" i="2" s="1"/>
  <c r="AA49" i="2"/>
  <c r="AB49" i="2" s="1"/>
  <c r="U23" i="3"/>
  <c r="U15" i="3"/>
  <c r="U17" i="3"/>
  <c r="U35" i="3"/>
  <c r="U49" i="5"/>
  <c r="U43" i="4"/>
  <c r="U53" i="9"/>
  <c r="U11" i="7"/>
  <c r="U48" i="8"/>
  <c r="U58" i="8"/>
  <c r="U26" i="9"/>
  <c r="U39" i="9"/>
  <c r="U57" i="16"/>
  <c r="U41" i="16"/>
  <c r="U56" i="3"/>
  <c r="U23" i="6"/>
  <c r="AA25" i="2"/>
  <c r="AB25" i="2" s="1"/>
  <c r="AA17" i="2"/>
  <c r="AB17" i="2" s="1"/>
  <c r="AA36" i="2"/>
  <c r="AB36" i="2" s="1"/>
  <c r="AA20" i="2"/>
  <c r="AB20" i="2" s="1"/>
  <c r="AA39" i="2"/>
  <c r="AB39" i="2" s="1"/>
  <c r="AA19" i="2"/>
  <c r="AB19" i="2" s="1"/>
  <c r="U30" i="4"/>
  <c r="U57" i="4"/>
  <c r="U35" i="7"/>
  <c r="U22" i="4"/>
  <c r="U52" i="4"/>
  <c r="U17" i="8"/>
  <c r="U44" i="4"/>
  <c r="U56" i="5"/>
  <c r="U20" i="8"/>
  <c r="U26" i="7"/>
  <c r="U14" i="7"/>
  <c r="U11" i="9"/>
  <c r="U24" i="10"/>
  <c r="U16" i="11"/>
  <c r="U41" i="14"/>
  <c r="U20" i="14"/>
  <c r="U48" i="14"/>
  <c r="U58" i="16"/>
  <c r="U40" i="16"/>
  <c r="U42" i="16"/>
  <c r="U39" i="10"/>
  <c r="AA46" i="2"/>
  <c r="AB46" i="2" s="1"/>
  <c r="AA56" i="2"/>
  <c r="AB56" i="2" s="1"/>
  <c r="AA31" i="2"/>
  <c r="AB31" i="2" s="1"/>
  <c r="U58" i="5"/>
  <c r="U16" i="8"/>
  <c r="U14" i="10"/>
  <c r="U13" i="11"/>
  <c r="U13" i="12"/>
  <c r="U56" i="12"/>
  <c r="U21" i="14"/>
  <c r="U22" i="10"/>
  <c r="AA40" i="2"/>
  <c r="AB40" i="2" s="1"/>
  <c r="AA35" i="2"/>
  <c r="AB35" i="2" s="1"/>
  <c r="AA26" i="2"/>
  <c r="AB26" i="2" s="1"/>
  <c r="Z45" i="2"/>
  <c r="AA21" i="2"/>
  <c r="AB21" i="2" s="1"/>
  <c r="Z33" i="2"/>
  <c r="Y33" i="2"/>
  <c r="AA58" i="2"/>
  <c r="AB58" i="2" s="1"/>
  <c r="U47" i="3"/>
  <c r="U47" i="6"/>
  <c r="U47" i="8"/>
  <c r="U40" i="4"/>
  <c r="U44" i="5"/>
  <c r="U15" i="8"/>
  <c r="U23" i="10"/>
  <c r="U40" i="6"/>
  <c r="U49" i="9"/>
  <c r="U21" i="10"/>
  <c r="U54" i="8"/>
  <c r="U41" i="11"/>
  <c r="U13" i="15"/>
  <c r="U43" i="15"/>
  <c r="U16" i="15"/>
  <c r="U41" i="15"/>
  <c r="S59" i="2"/>
  <c r="Z60" i="2"/>
  <c r="Z59" i="2" s="1"/>
  <c r="AA12" i="2"/>
  <c r="AB12" i="2" s="1"/>
  <c r="O9" i="14"/>
  <c r="O9" i="7"/>
  <c r="O33" i="14"/>
  <c r="O18" i="16"/>
  <c r="O27" i="13"/>
  <c r="Q60" i="4"/>
  <c r="Q59" i="4" s="1"/>
  <c r="K59" i="4"/>
  <c r="Q60" i="5"/>
  <c r="Q59" i="5" s="1"/>
  <c r="K59" i="5"/>
  <c r="Q60" i="8"/>
  <c r="Q59" i="8" s="1"/>
  <c r="K59" i="8"/>
  <c r="Q46" i="7"/>
  <c r="Q45" i="7" s="1"/>
  <c r="K45" i="7"/>
  <c r="Q19" i="8"/>
  <c r="Q18" i="8" s="1"/>
  <c r="K18" i="8"/>
  <c r="Q19" i="9"/>
  <c r="Q18" i="9" s="1"/>
  <c r="K18" i="9"/>
  <c r="Q60" i="9"/>
  <c r="Q59" i="9" s="1"/>
  <c r="K59" i="9"/>
  <c r="Q38" i="8"/>
  <c r="Q37" i="8" s="1"/>
  <c r="K37" i="8"/>
  <c r="Q51" i="9"/>
  <c r="Q50" i="9" s="1"/>
  <c r="K50" i="9"/>
  <c r="Q28" i="12"/>
  <c r="Q27" i="12" s="1"/>
  <c r="K27" i="12"/>
  <c r="K33" i="11"/>
  <c r="Q34" i="11"/>
  <c r="Q33" i="11" s="1"/>
  <c r="Q46" i="16"/>
  <c r="Q45" i="16" s="1"/>
  <c r="K45" i="16"/>
  <c r="K45" i="15"/>
  <c r="Q46" i="15"/>
  <c r="Q45" i="15" s="1"/>
  <c r="Q10" i="16"/>
  <c r="Q9" i="16" s="1"/>
  <c r="K9" i="16"/>
  <c r="O37" i="6"/>
  <c r="R46" i="5"/>
  <c r="R45" i="5" s="1"/>
  <c r="L45" i="5"/>
  <c r="R10" i="4"/>
  <c r="R9" i="4" s="1"/>
  <c r="L9" i="4"/>
  <c r="R34" i="5"/>
  <c r="R33" i="5" s="1"/>
  <c r="L33" i="5"/>
  <c r="L18" i="5"/>
  <c r="R21" i="5"/>
  <c r="U21" i="5" s="1"/>
  <c r="R10" i="7"/>
  <c r="R9" i="7" s="1"/>
  <c r="L9" i="7"/>
  <c r="L37" i="5"/>
  <c r="R42" i="5"/>
  <c r="U42" i="5" s="1"/>
  <c r="R46" i="8"/>
  <c r="R45" i="8" s="1"/>
  <c r="L45" i="8"/>
  <c r="R19" i="10"/>
  <c r="R18" i="10" s="1"/>
  <c r="L18" i="10"/>
  <c r="R46" i="9"/>
  <c r="R45" i="9" s="1"/>
  <c r="L45" i="9"/>
  <c r="R60" i="10"/>
  <c r="R59" i="10" s="1"/>
  <c r="L59" i="10"/>
  <c r="R51" i="11"/>
  <c r="R50" i="11" s="1"/>
  <c r="L50" i="11"/>
  <c r="U12" i="16"/>
  <c r="L37" i="16"/>
  <c r="R38" i="16"/>
  <c r="R37" i="16" s="1"/>
  <c r="L33" i="16"/>
  <c r="R34" i="16"/>
  <c r="R33" i="16" s="1"/>
  <c r="O50" i="4"/>
  <c r="S60" i="6"/>
  <c r="S59" i="6" s="1"/>
  <c r="M59" i="6"/>
  <c r="M45" i="4"/>
  <c r="S46" i="4"/>
  <c r="S45" i="4" s="1"/>
  <c r="S10" i="9"/>
  <c r="S9" i="9" s="1"/>
  <c r="M9" i="9"/>
  <c r="S28" i="8"/>
  <c r="S27" i="8" s="1"/>
  <c r="M27" i="8"/>
  <c r="S10" i="7"/>
  <c r="S9" i="7" s="1"/>
  <c r="M9" i="7"/>
  <c r="S38" i="8"/>
  <c r="S37" i="8" s="1"/>
  <c r="M37" i="8"/>
  <c r="S46" i="10"/>
  <c r="S45" i="10" s="1"/>
  <c r="M45" i="10"/>
  <c r="M59" i="13"/>
  <c r="S60" i="13"/>
  <c r="S59" i="13" s="1"/>
  <c r="S51" i="13"/>
  <c r="S50" i="13" s="1"/>
  <c r="M50" i="13"/>
  <c r="U29" i="14"/>
  <c r="M27" i="15"/>
  <c r="S28" i="15"/>
  <c r="S27" i="15" s="1"/>
  <c r="O27" i="4"/>
  <c r="T51" i="5"/>
  <c r="T50" i="5" s="1"/>
  <c r="N50" i="5"/>
  <c r="T19" i="11"/>
  <c r="T18" i="11" s="1"/>
  <c r="N18" i="11"/>
  <c r="N33" i="7"/>
  <c r="T34" i="7"/>
  <c r="T33" i="7" s="1"/>
  <c r="N33" i="11"/>
  <c r="T34" i="11"/>
  <c r="T33" i="11" s="1"/>
  <c r="T46" i="7"/>
  <c r="T45" i="7" s="1"/>
  <c r="N45" i="7"/>
  <c r="T19" i="8"/>
  <c r="T18" i="8" s="1"/>
  <c r="N18" i="8"/>
  <c r="T28" i="7"/>
  <c r="T27" i="7" s="1"/>
  <c r="N27" i="7"/>
  <c r="T19" i="12"/>
  <c r="T18" i="12" s="1"/>
  <c r="N18" i="12"/>
  <c r="T28" i="11"/>
  <c r="T27" i="11" s="1"/>
  <c r="N27" i="11"/>
  <c r="N37" i="13"/>
  <c r="T39" i="13"/>
  <c r="T37" i="13" s="1"/>
  <c r="T10" i="15"/>
  <c r="T9" i="15" s="1"/>
  <c r="N9" i="15"/>
  <c r="T38" i="14"/>
  <c r="T37" i="14" s="1"/>
  <c r="N37" i="14"/>
  <c r="T51" i="16"/>
  <c r="T50" i="16" s="1"/>
  <c r="N50" i="16"/>
  <c r="T38" i="16"/>
  <c r="T37" i="16" s="1"/>
  <c r="N37" i="16"/>
  <c r="U40" i="5"/>
  <c r="W37" i="2"/>
  <c r="AA14" i="2"/>
  <c r="AB14" i="2" s="1"/>
  <c r="Q59" i="2"/>
  <c r="X60" i="2"/>
  <c r="X59" i="2" s="1"/>
  <c r="Z50" i="2"/>
  <c r="W18" i="2"/>
  <c r="AA13" i="2"/>
  <c r="AB13" i="2" s="1"/>
  <c r="U44" i="3"/>
  <c r="U29" i="3"/>
  <c r="U42" i="3"/>
  <c r="U31" i="3"/>
  <c r="O33" i="13"/>
  <c r="U20" i="16"/>
  <c r="O18" i="11"/>
  <c r="Q34" i="9"/>
  <c r="Q33" i="9" s="1"/>
  <c r="K33" i="9"/>
  <c r="K59" i="10"/>
  <c r="Q60" i="10"/>
  <c r="Q59" i="10" s="1"/>
  <c r="Q46" i="10"/>
  <c r="Q45" i="10" s="1"/>
  <c r="K45" i="10"/>
  <c r="K37" i="6"/>
  <c r="Q38" i="6"/>
  <c r="Q37" i="6" s="1"/>
  <c r="Q51" i="7"/>
  <c r="Q50" i="7" s="1"/>
  <c r="K50" i="7"/>
  <c r="Q28" i="9"/>
  <c r="Q27" i="9" s="1"/>
  <c r="K27" i="9"/>
  <c r="K9" i="11"/>
  <c r="Q10" i="11"/>
  <c r="Q9" i="11" s="1"/>
  <c r="Q19" i="11"/>
  <c r="Q18" i="11" s="1"/>
  <c r="K18" i="11"/>
  <c r="K45" i="12"/>
  <c r="Q46" i="12"/>
  <c r="Q45" i="12" s="1"/>
  <c r="K9" i="15"/>
  <c r="Q10" i="15"/>
  <c r="K18" i="13"/>
  <c r="Q19" i="13"/>
  <c r="Q18" i="13" s="1"/>
  <c r="Q28" i="14"/>
  <c r="Q27" i="14" s="1"/>
  <c r="K27" i="14"/>
  <c r="U9" i="2"/>
  <c r="L27" i="4"/>
  <c r="R28" i="4"/>
  <c r="R27" i="4" s="1"/>
  <c r="R10" i="8"/>
  <c r="R9" i="8" s="1"/>
  <c r="L9" i="8"/>
  <c r="L18" i="7"/>
  <c r="R19" i="7"/>
  <c r="R18" i="7" s="1"/>
  <c r="R28" i="7"/>
  <c r="R27" i="7" s="1"/>
  <c r="L27" i="7"/>
  <c r="R28" i="6"/>
  <c r="R27" i="6" s="1"/>
  <c r="L27" i="6"/>
  <c r="R46" i="10"/>
  <c r="R45" i="10" s="1"/>
  <c r="L45" i="10"/>
  <c r="L59" i="9"/>
  <c r="R60" i="9"/>
  <c r="R59" i="9" s="1"/>
  <c r="R51" i="8"/>
  <c r="R50" i="8" s="1"/>
  <c r="L50" i="8"/>
  <c r="R28" i="11"/>
  <c r="R27" i="11" s="1"/>
  <c r="L27" i="11"/>
  <c r="R19" i="12"/>
  <c r="R18" i="12" s="1"/>
  <c r="L18" i="12"/>
  <c r="R46" i="15"/>
  <c r="R45" i="15" s="1"/>
  <c r="L45" i="15"/>
  <c r="R19" i="16"/>
  <c r="R18" i="16" s="1"/>
  <c r="L18" i="16"/>
  <c r="O37" i="8"/>
  <c r="S60" i="5"/>
  <c r="S59" i="5" s="1"/>
  <c r="M59" i="5"/>
  <c r="S34" i="4"/>
  <c r="S33" i="4" s="1"/>
  <c r="M33" i="4"/>
  <c r="M9" i="4"/>
  <c r="S10" i="4"/>
  <c r="S9" i="4" s="1"/>
  <c r="S34" i="5"/>
  <c r="S33" i="5" s="1"/>
  <c r="M33" i="5"/>
  <c r="S60" i="7"/>
  <c r="S59" i="7" s="1"/>
  <c r="M59" i="7"/>
  <c r="S34" i="6"/>
  <c r="S33" i="6" s="1"/>
  <c r="M33" i="6"/>
  <c r="S10" i="10"/>
  <c r="S9" i="10" s="1"/>
  <c r="M9" i="10"/>
  <c r="S19" i="9"/>
  <c r="S18" i="9" s="1"/>
  <c r="M18" i="9"/>
  <c r="S10" i="11"/>
  <c r="S9" i="11" s="1"/>
  <c r="M9" i="11"/>
  <c r="S51" i="11"/>
  <c r="S50" i="11" s="1"/>
  <c r="M50" i="11"/>
  <c r="M37" i="12"/>
  <c r="S38" i="12"/>
  <c r="S37" i="12" s="1"/>
  <c r="M9" i="15"/>
  <c r="S10" i="15"/>
  <c r="S9" i="15" s="1"/>
  <c r="S28" i="14"/>
  <c r="S27" i="14" s="1"/>
  <c r="M27" i="14"/>
  <c r="M33" i="14"/>
  <c r="S34" i="14"/>
  <c r="S33" i="14" s="1"/>
  <c r="S46" i="16"/>
  <c r="S45" i="16" s="1"/>
  <c r="M45" i="16"/>
  <c r="U35" i="14"/>
  <c r="T28" i="4"/>
  <c r="T27" i="4" s="1"/>
  <c r="N27" i="4"/>
  <c r="T10" i="11"/>
  <c r="T9" i="11" s="1"/>
  <c r="N9" i="11"/>
  <c r="N59" i="7"/>
  <c r="T60" i="7"/>
  <c r="T59" i="7" s="1"/>
  <c r="T38" i="7"/>
  <c r="T37" i="7" s="1"/>
  <c r="N37" i="7"/>
  <c r="N27" i="6"/>
  <c r="T30" i="6"/>
  <c r="T51" i="8"/>
  <c r="T50" i="8" s="1"/>
  <c r="N50" i="8"/>
  <c r="N37" i="6"/>
  <c r="T38" i="6"/>
  <c r="T37" i="6" s="1"/>
  <c r="T51" i="7"/>
  <c r="T50" i="7" s="1"/>
  <c r="N50" i="7"/>
  <c r="T28" i="10"/>
  <c r="T27" i="10" s="1"/>
  <c r="N27" i="10"/>
  <c r="T10" i="9"/>
  <c r="T9" i="9" s="1"/>
  <c r="N9" i="9"/>
  <c r="T19" i="10"/>
  <c r="T18" i="10" s="1"/>
  <c r="N18" i="10"/>
  <c r="T38" i="10"/>
  <c r="T37" i="10" s="1"/>
  <c r="N37" i="10"/>
  <c r="T19" i="9"/>
  <c r="T18" i="9" s="1"/>
  <c r="N18" i="9"/>
  <c r="T46" i="13"/>
  <c r="T45" i="13" s="1"/>
  <c r="N45" i="13"/>
  <c r="T34" i="12"/>
  <c r="T33" i="12" s="1"/>
  <c r="N33" i="12"/>
  <c r="N9" i="16"/>
  <c r="T10" i="16"/>
  <c r="T9" i="16" s="1"/>
  <c r="T60" i="16"/>
  <c r="T59" i="16" s="1"/>
  <c r="N59" i="16"/>
  <c r="O50" i="12"/>
  <c r="O27" i="9"/>
  <c r="O9" i="6"/>
  <c r="U11" i="16"/>
  <c r="O33" i="15"/>
  <c r="W33" i="2"/>
  <c r="X27" i="2"/>
  <c r="X18" i="2"/>
  <c r="Z18" i="2"/>
  <c r="X14" i="1"/>
  <c r="Y18" i="2"/>
  <c r="Y50" i="2"/>
  <c r="U36" i="3"/>
  <c r="U14" i="3"/>
  <c r="U49" i="3"/>
  <c r="O27" i="8"/>
  <c r="O59" i="8"/>
  <c r="O9" i="9"/>
  <c r="O27" i="10"/>
  <c r="Q19" i="4"/>
  <c r="Q18" i="4" s="1"/>
  <c r="K18" i="4"/>
  <c r="Q46" i="4"/>
  <c r="Q45" i="4" s="1"/>
  <c r="K45" i="4"/>
  <c r="Q19" i="5"/>
  <c r="Q18" i="5" s="1"/>
  <c r="K18" i="5"/>
  <c r="Q19" i="6"/>
  <c r="Q18" i="6" s="1"/>
  <c r="K18" i="6"/>
  <c r="Q19" i="10"/>
  <c r="Q18" i="10" s="1"/>
  <c r="K18" i="10"/>
  <c r="Q38" i="10"/>
  <c r="Q37" i="10" s="1"/>
  <c r="K37" i="10"/>
  <c r="Q19" i="12"/>
  <c r="Q18" i="12" s="1"/>
  <c r="K18" i="12"/>
  <c r="Q38" i="14"/>
  <c r="Q37" i="14" s="1"/>
  <c r="K37" i="14"/>
  <c r="K50" i="15"/>
  <c r="Q52" i="15"/>
  <c r="Q60" i="14"/>
  <c r="Q59" i="14" s="1"/>
  <c r="K59" i="14"/>
  <c r="Q28" i="16"/>
  <c r="Q27" i="16" s="1"/>
  <c r="K27" i="16"/>
  <c r="O9" i="13"/>
  <c r="U55" i="4"/>
  <c r="R51" i="4"/>
  <c r="R50" i="4" s="1"/>
  <c r="L50" i="4"/>
  <c r="U12" i="6"/>
  <c r="R34" i="7"/>
  <c r="R33" i="7" s="1"/>
  <c r="L33" i="7"/>
  <c r="U13" i="8"/>
  <c r="R60" i="7"/>
  <c r="R59" i="7" s="1"/>
  <c r="L59" i="7"/>
  <c r="R10" i="10"/>
  <c r="R9" i="10" s="1"/>
  <c r="L9" i="10"/>
  <c r="R28" i="10"/>
  <c r="R27" i="10" s="1"/>
  <c r="L27" i="10"/>
  <c r="R46" i="11"/>
  <c r="R45" i="11" s="1"/>
  <c r="L45" i="11"/>
  <c r="L33" i="12"/>
  <c r="R34" i="12"/>
  <c r="R33" i="12" s="1"/>
  <c r="L18" i="13"/>
  <c r="R22" i="13"/>
  <c r="L33" i="14"/>
  <c r="R36" i="14"/>
  <c r="R33" i="14" s="1"/>
  <c r="R46" i="16"/>
  <c r="R45" i="16" s="1"/>
  <c r="L45" i="16"/>
  <c r="O9" i="16"/>
  <c r="O59" i="9"/>
  <c r="S38" i="4"/>
  <c r="S37" i="4" s="1"/>
  <c r="M37" i="4"/>
  <c r="M27" i="5"/>
  <c r="S28" i="5"/>
  <c r="S27" i="5" s="1"/>
  <c r="M18" i="8"/>
  <c r="S21" i="8"/>
  <c r="U21" i="8" s="1"/>
  <c r="S10" i="6"/>
  <c r="S9" i="6" s="1"/>
  <c r="M9" i="6"/>
  <c r="M33" i="7"/>
  <c r="S34" i="7"/>
  <c r="S33" i="7" s="1"/>
  <c r="S60" i="8"/>
  <c r="S59" i="8" s="1"/>
  <c r="M59" i="8"/>
  <c r="S10" i="8"/>
  <c r="S9" i="8" s="1"/>
  <c r="M9" i="8"/>
  <c r="S28" i="9"/>
  <c r="S27" i="9" s="1"/>
  <c r="M27" i="9"/>
  <c r="S34" i="11"/>
  <c r="S33" i="11" s="1"/>
  <c r="M33" i="11"/>
  <c r="M45" i="11"/>
  <c r="S46" i="11"/>
  <c r="S45" i="11" s="1"/>
  <c r="S38" i="11"/>
  <c r="S37" i="11" s="1"/>
  <c r="M37" i="11"/>
  <c r="S10" i="14"/>
  <c r="S9" i="14" s="1"/>
  <c r="M9" i="14"/>
  <c r="U55" i="12"/>
  <c r="S46" i="14"/>
  <c r="S45" i="14" s="1"/>
  <c r="M45" i="14"/>
  <c r="S60" i="12"/>
  <c r="S59" i="12" s="1"/>
  <c r="M59" i="12"/>
  <c r="M37" i="14"/>
  <c r="S38" i="14"/>
  <c r="S37" i="14" s="1"/>
  <c r="S34" i="15"/>
  <c r="S33" i="15" s="1"/>
  <c r="M33" i="15"/>
  <c r="S38" i="15"/>
  <c r="S37" i="15" s="1"/>
  <c r="M37" i="15"/>
  <c r="S34" i="16"/>
  <c r="S33" i="16" s="1"/>
  <c r="M33" i="16"/>
  <c r="O33" i="8"/>
  <c r="O18" i="4"/>
  <c r="T46" i="4"/>
  <c r="T45" i="4" s="1"/>
  <c r="N45" i="4"/>
  <c r="T38" i="5"/>
  <c r="T37" i="5" s="1"/>
  <c r="N37" i="5"/>
  <c r="T60" i="5"/>
  <c r="T59" i="5" s="1"/>
  <c r="N59" i="5"/>
  <c r="T10" i="10"/>
  <c r="T9" i="10" s="1"/>
  <c r="N9" i="10"/>
  <c r="T60" i="11"/>
  <c r="T59" i="11" s="1"/>
  <c r="N59" i="11"/>
  <c r="T10" i="12"/>
  <c r="T9" i="12" s="1"/>
  <c r="N9" i="12"/>
  <c r="T46" i="12"/>
  <c r="T45" i="12" s="1"/>
  <c r="N45" i="12"/>
  <c r="N59" i="15"/>
  <c r="T60" i="15"/>
  <c r="T59" i="15" s="1"/>
  <c r="T28" i="15"/>
  <c r="T27" i="15" s="1"/>
  <c r="N27" i="15"/>
  <c r="O50" i="6"/>
  <c r="O50" i="5"/>
  <c r="AA11" i="2"/>
  <c r="AB11" i="2" s="1"/>
  <c r="Y45" i="2"/>
  <c r="X9" i="2"/>
  <c r="U12" i="3"/>
  <c r="U54" i="3"/>
  <c r="U41" i="3"/>
  <c r="O45" i="9"/>
  <c r="O45" i="14"/>
  <c r="O50" i="8"/>
  <c r="O59" i="4"/>
  <c r="O45" i="15"/>
  <c r="K37" i="5"/>
  <c r="Q38" i="5"/>
  <c r="K27" i="5"/>
  <c r="Q30" i="5"/>
  <c r="U30" i="5" s="1"/>
  <c r="Q10" i="4"/>
  <c r="Q9" i="4" s="1"/>
  <c r="K9" i="4"/>
  <c r="K33" i="5"/>
  <c r="Q34" i="5"/>
  <c r="Q33" i="5" s="1"/>
  <c r="K45" i="6"/>
  <c r="Q46" i="6"/>
  <c r="Q45" i="6" s="1"/>
  <c r="Q60" i="7"/>
  <c r="Q59" i="7" s="1"/>
  <c r="K59" i="7"/>
  <c r="K50" i="10"/>
  <c r="Q51" i="10"/>
  <c r="Q50" i="10" s="1"/>
  <c r="Q34" i="10"/>
  <c r="Q33" i="10" s="1"/>
  <c r="K33" i="10"/>
  <c r="Q38" i="13"/>
  <c r="Q37" i="13" s="1"/>
  <c r="K37" i="13"/>
  <c r="Q46" i="11"/>
  <c r="Q45" i="11" s="1"/>
  <c r="K45" i="11"/>
  <c r="Q38" i="11"/>
  <c r="Q37" i="11" s="1"/>
  <c r="K37" i="11"/>
  <c r="Q28" i="13"/>
  <c r="Q27" i="13" s="1"/>
  <c r="K27" i="13"/>
  <c r="K50" i="16"/>
  <c r="Q51" i="16"/>
  <c r="Q50" i="16" s="1"/>
  <c r="K18" i="15"/>
  <c r="Q19" i="15"/>
  <c r="Q18" i="15" s="1"/>
  <c r="Q38" i="16"/>
  <c r="Q37" i="16" s="1"/>
  <c r="K37" i="16"/>
  <c r="O37" i="14"/>
  <c r="O59" i="14"/>
  <c r="L18" i="4"/>
  <c r="R19" i="4"/>
  <c r="R18" i="4" s="1"/>
  <c r="R19" i="6"/>
  <c r="R18" i="6" s="1"/>
  <c r="L18" i="6"/>
  <c r="R28" i="8"/>
  <c r="R27" i="8" s="1"/>
  <c r="L27" i="8"/>
  <c r="R51" i="7"/>
  <c r="R50" i="7" s="1"/>
  <c r="L50" i="7"/>
  <c r="R51" i="5"/>
  <c r="R50" i="5" s="1"/>
  <c r="L50" i="5"/>
  <c r="R60" i="6"/>
  <c r="R59" i="6" s="1"/>
  <c r="L59" i="6"/>
  <c r="L37" i="7"/>
  <c r="R38" i="7"/>
  <c r="R37" i="7" s="1"/>
  <c r="R60" i="8"/>
  <c r="R59" i="8" s="1"/>
  <c r="L59" i="8"/>
  <c r="R19" i="9"/>
  <c r="R18" i="9" s="1"/>
  <c r="L18" i="9"/>
  <c r="R34" i="11"/>
  <c r="R33" i="11" s="1"/>
  <c r="L33" i="11"/>
  <c r="R46" i="12"/>
  <c r="R45" i="12" s="1"/>
  <c r="L45" i="12"/>
  <c r="L37" i="12"/>
  <c r="R38" i="12"/>
  <c r="R37" i="12" s="1"/>
  <c r="L27" i="14"/>
  <c r="R28" i="14"/>
  <c r="R27" i="14" s="1"/>
  <c r="U40" i="14"/>
  <c r="R60" i="14"/>
  <c r="R59" i="14" s="1"/>
  <c r="L59" i="14"/>
  <c r="R38" i="15"/>
  <c r="R37" i="15" s="1"/>
  <c r="L37" i="15"/>
  <c r="R60" i="15"/>
  <c r="R59" i="15" s="1"/>
  <c r="L59" i="15"/>
  <c r="O59" i="16"/>
  <c r="O50" i="11"/>
  <c r="M27" i="4"/>
  <c r="S32" i="4"/>
  <c r="S27" i="4" s="1"/>
  <c r="S51" i="4"/>
  <c r="S50" i="4" s="1"/>
  <c r="M50" i="4"/>
  <c r="M45" i="5"/>
  <c r="S48" i="5"/>
  <c r="U48" i="5" s="1"/>
  <c r="S51" i="9"/>
  <c r="S50" i="9" s="1"/>
  <c r="M50" i="9"/>
  <c r="M45" i="8"/>
  <c r="S46" i="8"/>
  <c r="S45" i="8" s="1"/>
  <c r="M33" i="9"/>
  <c r="S34" i="9"/>
  <c r="S33" i="9" s="1"/>
  <c r="S10" i="12"/>
  <c r="S9" i="12" s="1"/>
  <c r="M9" i="12"/>
  <c r="S19" i="12"/>
  <c r="S18" i="12" s="1"/>
  <c r="M18" i="12"/>
  <c r="U39" i="12"/>
  <c r="S34" i="12"/>
  <c r="S33" i="12" s="1"/>
  <c r="M33" i="12"/>
  <c r="U13" i="13"/>
  <c r="S19" i="13"/>
  <c r="S18" i="13" s="1"/>
  <c r="M18" i="13"/>
  <c r="S51" i="14"/>
  <c r="S50" i="14" s="1"/>
  <c r="M50" i="14"/>
  <c r="S51" i="16"/>
  <c r="S50" i="16" s="1"/>
  <c r="M50" i="16"/>
  <c r="M27" i="16"/>
  <c r="S28" i="16"/>
  <c r="S27" i="16" s="1"/>
  <c r="U39" i="16"/>
  <c r="T10" i="7"/>
  <c r="T9" i="7" s="1"/>
  <c r="N9" i="7"/>
  <c r="T60" i="6"/>
  <c r="T59" i="6" s="1"/>
  <c r="N59" i="6"/>
  <c r="N33" i="6"/>
  <c r="T34" i="6"/>
  <c r="T33" i="6" s="1"/>
  <c r="T28" i="8"/>
  <c r="T27" i="8" s="1"/>
  <c r="N27" i="8"/>
  <c r="N59" i="9"/>
  <c r="T60" i="9"/>
  <c r="T59" i="9" s="1"/>
  <c r="T51" i="10"/>
  <c r="T50" i="10" s="1"/>
  <c r="N50" i="10"/>
  <c r="N33" i="9"/>
  <c r="T34" i="9"/>
  <c r="T33" i="9" s="1"/>
  <c r="T38" i="12"/>
  <c r="T37" i="12" s="1"/>
  <c r="N37" i="12"/>
  <c r="T60" i="10"/>
  <c r="T59" i="10" s="1"/>
  <c r="N59" i="10"/>
  <c r="N9" i="14"/>
  <c r="T10" i="14"/>
  <c r="T9" i="14" s="1"/>
  <c r="T51" i="14"/>
  <c r="T50" i="14" s="1"/>
  <c r="N50" i="14"/>
  <c r="N33" i="13"/>
  <c r="T35" i="13"/>
  <c r="T33" i="13" s="1"/>
  <c r="T46" i="15"/>
  <c r="T45" i="15" s="1"/>
  <c r="N45" i="15"/>
  <c r="U30" i="14"/>
  <c r="X45" i="2"/>
  <c r="AA23" i="2"/>
  <c r="AB23" i="2" s="1"/>
  <c r="Z9" i="2"/>
  <c r="Z37" i="2"/>
  <c r="U32" i="3"/>
  <c r="U43" i="3"/>
  <c r="U25" i="3"/>
  <c r="U48" i="3"/>
  <c r="Y37" i="2"/>
  <c r="O33" i="16"/>
  <c r="AA38" i="2"/>
  <c r="O18" i="8"/>
  <c r="O37" i="9"/>
  <c r="O37" i="10"/>
  <c r="O9" i="10"/>
  <c r="O45" i="11"/>
  <c r="K9" i="7"/>
  <c r="Q10" i="7"/>
  <c r="Q9" i="7" s="1"/>
  <c r="K37" i="4"/>
  <c r="Q42" i="4"/>
  <c r="K33" i="6"/>
  <c r="Q34" i="6"/>
  <c r="Q33" i="6" s="1"/>
  <c r="Q10" i="8"/>
  <c r="K9" i="8"/>
  <c r="Q28" i="8"/>
  <c r="Q27" i="8" s="1"/>
  <c r="K27" i="8"/>
  <c r="Q28" i="11"/>
  <c r="Q27" i="11" s="1"/>
  <c r="K27" i="11"/>
  <c r="K59" i="12"/>
  <c r="Q60" i="12"/>
  <c r="Q59" i="12" s="1"/>
  <c r="Q10" i="14"/>
  <c r="Q9" i="14" s="1"/>
  <c r="K9" i="14"/>
  <c r="Q34" i="13"/>
  <c r="Q33" i="13" s="1"/>
  <c r="K33" i="13"/>
  <c r="K27" i="15"/>
  <c r="Q28" i="15"/>
  <c r="Q27" i="15" s="1"/>
  <c r="Q46" i="14"/>
  <c r="Q45" i="14" s="1"/>
  <c r="K45" i="14"/>
  <c r="K33" i="16"/>
  <c r="Q34" i="16"/>
  <c r="Q33" i="16" s="1"/>
  <c r="O33" i="9"/>
  <c r="R38" i="8"/>
  <c r="R37" i="8" s="1"/>
  <c r="L37" i="8"/>
  <c r="R10" i="5"/>
  <c r="R9" i="5" s="1"/>
  <c r="L9" i="5"/>
  <c r="R10" i="6"/>
  <c r="R9" i="6" s="1"/>
  <c r="L9" i="6"/>
  <c r="L33" i="10"/>
  <c r="R34" i="10"/>
  <c r="R33" i="10" s="1"/>
  <c r="L50" i="10"/>
  <c r="R51" i="10"/>
  <c r="R50" i="10" s="1"/>
  <c r="L59" i="11"/>
  <c r="R60" i="11"/>
  <c r="R59" i="11" s="1"/>
  <c r="L27" i="13"/>
  <c r="R28" i="13"/>
  <c r="R27" i="13" s="1"/>
  <c r="L50" i="12"/>
  <c r="R51" i="12"/>
  <c r="R50" i="12" s="1"/>
  <c r="R46" i="13"/>
  <c r="R45" i="13" s="1"/>
  <c r="L45" i="13"/>
  <c r="R38" i="14"/>
  <c r="R37" i="14" s="1"/>
  <c r="L37" i="14"/>
  <c r="L18" i="15"/>
  <c r="R19" i="15"/>
  <c r="R18" i="15" s="1"/>
  <c r="R51" i="14"/>
  <c r="R50" i="14" s="1"/>
  <c r="L50" i="14"/>
  <c r="L45" i="14"/>
  <c r="R46" i="14"/>
  <c r="R45" i="14" s="1"/>
  <c r="U40" i="15"/>
  <c r="R51" i="16"/>
  <c r="R50" i="16" s="1"/>
  <c r="L50" i="16"/>
  <c r="R10" i="16"/>
  <c r="R9" i="16" s="1"/>
  <c r="L9" i="16"/>
  <c r="O50" i="10"/>
  <c r="O45" i="6"/>
  <c r="O33" i="4"/>
  <c r="M50" i="6"/>
  <c r="S51" i="6"/>
  <c r="S50" i="6" s="1"/>
  <c r="S38" i="5"/>
  <c r="S37" i="5" s="1"/>
  <c r="M37" i="5"/>
  <c r="S19" i="5"/>
  <c r="S18" i="5" s="1"/>
  <c r="M18" i="5"/>
  <c r="S19" i="6"/>
  <c r="S18" i="6" s="1"/>
  <c r="M18" i="6"/>
  <c r="S19" i="7"/>
  <c r="S18" i="7" s="1"/>
  <c r="M18" i="7"/>
  <c r="M33" i="10"/>
  <c r="S34" i="10"/>
  <c r="S33" i="10" s="1"/>
  <c r="M45" i="9"/>
  <c r="S48" i="9"/>
  <c r="U48" i="9" s="1"/>
  <c r="M59" i="10"/>
  <c r="S60" i="10"/>
  <c r="S59" i="10" s="1"/>
  <c r="S38" i="10"/>
  <c r="S37" i="10" s="1"/>
  <c r="M37" i="10"/>
  <c r="M37" i="9"/>
  <c r="S38" i="9"/>
  <c r="S37" i="9" s="1"/>
  <c r="S46" i="12"/>
  <c r="S45" i="12" s="1"/>
  <c r="M45" i="12"/>
  <c r="U54" i="12"/>
  <c r="S60" i="14"/>
  <c r="S59" i="14" s="1"/>
  <c r="M59" i="14"/>
  <c r="M18" i="16"/>
  <c r="S19" i="16"/>
  <c r="S18" i="16" s="1"/>
  <c r="M59" i="16"/>
  <c r="S60" i="16"/>
  <c r="S59" i="16" s="1"/>
  <c r="S38" i="16"/>
  <c r="S37" i="16" s="1"/>
  <c r="M37" i="16"/>
  <c r="T51" i="4"/>
  <c r="T50" i="4" s="1"/>
  <c r="N50" i="4"/>
  <c r="N18" i="5"/>
  <c r="T19" i="5"/>
  <c r="T18" i="5" s="1"/>
  <c r="T19" i="6"/>
  <c r="T18" i="6" s="1"/>
  <c r="N18" i="6"/>
  <c r="T46" i="9"/>
  <c r="T45" i="9" s="1"/>
  <c r="N45" i="9"/>
  <c r="T51" i="6"/>
  <c r="T50" i="6" s="1"/>
  <c r="N50" i="6"/>
  <c r="T10" i="8"/>
  <c r="T9" i="8" s="1"/>
  <c r="N9" i="8"/>
  <c r="T46" i="8"/>
  <c r="T45" i="8" s="1"/>
  <c r="N45" i="8"/>
  <c r="T51" i="15"/>
  <c r="T50" i="15" s="1"/>
  <c r="N50" i="15"/>
  <c r="T60" i="13"/>
  <c r="T59" i="13" s="1"/>
  <c r="N59" i="13"/>
  <c r="O50" i="14"/>
  <c r="O27" i="12"/>
  <c r="O18" i="10"/>
  <c r="O9" i="11"/>
  <c r="O18" i="7"/>
  <c r="W45" i="2"/>
  <c r="W27" i="2"/>
  <c r="W50" i="2"/>
  <c r="Y27" i="2"/>
  <c r="Y9" i="2"/>
  <c r="U11" i="3"/>
  <c r="U13" i="3"/>
  <c r="O18" i="14"/>
  <c r="O50" i="7"/>
  <c r="O27" i="15"/>
  <c r="O33" i="11"/>
  <c r="O18" i="5"/>
  <c r="O9" i="12"/>
  <c r="O45" i="5"/>
  <c r="Q51" i="4"/>
  <c r="Q50" i="4" s="1"/>
  <c r="K50" i="4"/>
  <c r="Q34" i="7"/>
  <c r="K33" i="7"/>
  <c r="K50" i="5"/>
  <c r="Q55" i="5"/>
  <c r="K37" i="7"/>
  <c r="Q43" i="7"/>
  <c r="U43" i="7" s="1"/>
  <c r="Q38" i="9"/>
  <c r="Q37" i="9" s="1"/>
  <c r="K37" i="9"/>
  <c r="K45" i="13"/>
  <c r="Q46" i="13"/>
  <c r="Q45" i="13" s="1"/>
  <c r="Q19" i="14"/>
  <c r="Q18" i="14" s="1"/>
  <c r="K18" i="14"/>
  <c r="O50" i="16"/>
  <c r="O59" i="13"/>
  <c r="L33" i="4"/>
  <c r="R34" i="4"/>
  <c r="R33" i="4" s="1"/>
  <c r="R60" i="4"/>
  <c r="R59" i="4" s="1"/>
  <c r="L59" i="4"/>
  <c r="R46" i="7"/>
  <c r="R45" i="7" s="1"/>
  <c r="L45" i="7"/>
  <c r="R19" i="8"/>
  <c r="R18" i="8" s="1"/>
  <c r="L18" i="8"/>
  <c r="R10" i="9"/>
  <c r="R9" i="9" s="1"/>
  <c r="L9" i="9"/>
  <c r="L33" i="9"/>
  <c r="R34" i="9"/>
  <c r="R33" i="9" s="1"/>
  <c r="L9" i="11"/>
  <c r="R10" i="11"/>
  <c r="R9" i="11" s="1"/>
  <c r="L9" i="14"/>
  <c r="R10" i="14"/>
  <c r="R9" i="14" s="1"/>
  <c r="R38" i="11"/>
  <c r="R37" i="11" s="1"/>
  <c r="L37" i="11"/>
  <c r="R34" i="13"/>
  <c r="R33" i="13" s="1"/>
  <c r="L33" i="13"/>
  <c r="L50" i="13"/>
  <c r="R51" i="13"/>
  <c r="R50" i="13" s="1"/>
  <c r="L9" i="15"/>
  <c r="R10" i="15"/>
  <c r="R9" i="15" s="1"/>
  <c r="R28" i="15"/>
  <c r="R27" i="15" s="1"/>
  <c r="L27" i="15"/>
  <c r="U56" i="15"/>
  <c r="R60" i="16"/>
  <c r="R59" i="16" s="1"/>
  <c r="L59" i="16"/>
  <c r="U47" i="16"/>
  <c r="O27" i="14"/>
  <c r="O37" i="13"/>
  <c r="O18" i="13"/>
  <c r="M9" i="5"/>
  <c r="S12" i="5"/>
  <c r="U12" i="5" s="1"/>
  <c r="M18" i="4"/>
  <c r="S19" i="4"/>
  <c r="S18" i="4" s="1"/>
  <c r="U55" i="10"/>
  <c r="S28" i="7"/>
  <c r="S27" i="7" s="1"/>
  <c r="M27" i="7"/>
  <c r="S28" i="10"/>
  <c r="S27" i="10" s="1"/>
  <c r="M27" i="10"/>
  <c r="U14" i="11"/>
  <c r="S28" i="12"/>
  <c r="S27" i="12" s="1"/>
  <c r="M27" i="12"/>
  <c r="S10" i="13"/>
  <c r="S9" i="13" s="1"/>
  <c r="M9" i="13"/>
  <c r="S28" i="13"/>
  <c r="S27" i="13" s="1"/>
  <c r="M27" i="13"/>
  <c r="S19" i="15"/>
  <c r="S18" i="15" s="1"/>
  <c r="M18" i="15"/>
  <c r="O27" i="5"/>
  <c r="U15" i="14"/>
  <c r="O18" i="9"/>
  <c r="O9" i="8"/>
  <c r="N9" i="4"/>
  <c r="T10" i="4"/>
  <c r="T9" i="4" s="1"/>
  <c r="N27" i="5"/>
  <c r="T32" i="5"/>
  <c r="U32" i="5" s="1"/>
  <c r="T34" i="4"/>
  <c r="T33" i="4" s="1"/>
  <c r="N33" i="4"/>
  <c r="N45" i="10"/>
  <c r="T46" i="10"/>
  <c r="T45" i="10" s="1"/>
  <c r="T51" i="12"/>
  <c r="T50" i="12" s="1"/>
  <c r="N50" i="12"/>
  <c r="T28" i="12"/>
  <c r="T27" i="12" s="1"/>
  <c r="N27" i="12"/>
  <c r="N50" i="13"/>
  <c r="T51" i="13"/>
  <c r="T50" i="13" s="1"/>
  <c r="N45" i="14"/>
  <c r="T46" i="14"/>
  <c r="T45" i="14" s="1"/>
  <c r="T34" i="15"/>
  <c r="T33" i="15" s="1"/>
  <c r="N33" i="15"/>
  <c r="AA29" i="2"/>
  <c r="AB29" i="2" s="1"/>
  <c r="O18" i="12"/>
  <c r="U36" i="5"/>
  <c r="U29" i="11"/>
  <c r="U53" i="3"/>
  <c r="O37" i="16"/>
  <c r="O27" i="6"/>
  <c r="O27" i="16"/>
  <c r="O33" i="10"/>
  <c r="Q34" i="4"/>
  <c r="Q33" i="4" s="1"/>
  <c r="K33" i="4"/>
  <c r="Q28" i="6"/>
  <c r="K27" i="6"/>
  <c r="Q46" i="5"/>
  <c r="Q45" i="5" s="1"/>
  <c r="K45" i="5"/>
  <c r="K9" i="6"/>
  <c r="Q10" i="6"/>
  <c r="Q9" i="6" s="1"/>
  <c r="Q60" i="6"/>
  <c r="Q59" i="6" s="1"/>
  <c r="K59" i="6"/>
  <c r="K27" i="7"/>
  <c r="Q28" i="7"/>
  <c r="Q27" i="7" s="1"/>
  <c r="Q51" i="11"/>
  <c r="Q50" i="11" s="1"/>
  <c r="K50" i="11"/>
  <c r="K18" i="7"/>
  <c r="Q19" i="7"/>
  <c r="Q18" i="7" s="1"/>
  <c r="Q46" i="8"/>
  <c r="Q45" i="8" s="1"/>
  <c r="K45" i="8"/>
  <c r="K45" i="9"/>
  <c r="Q46" i="9"/>
  <c r="Q45" i="9" s="1"/>
  <c r="Q34" i="12"/>
  <c r="Q33" i="12" s="1"/>
  <c r="K33" i="12"/>
  <c r="Q60" i="11"/>
  <c r="Q59" i="11" s="1"/>
  <c r="K59" i="11"/>
  <c r="Q38" i="12"/>
  <c r="Q37" i="12" s="1"/>
  <c r="K37" i="12"/>
  <c r="K59" i="13"/>
  <c r="Q60" i="13"/>
  <c r="Q59" i="13" s="1"/>
  <c r="Q51" i="13"/>
  <c r="Q50" i="13" s="1"/>
  <c r="K50" i="13"/>
  <c r="Q34" i="14"/>
  <c r="K33" i="14"/>
  <c r="Q34" i="15"/>
  <c r="Q33" i="15" s="1"/>
  <c r="K33" i="15"/>
  <c r="O45" i="4"/>
  <c r="U35" i="8"/>
  <c r="O37" i="4"/>
  <c r="L37" i="4"/>
  <c r="R38" i="4"/>
  <c r="R37" i="4" s="1"/>
  <c r="R28" i="5"/>
  <c r="R27" i="5" s="1"/>
  <c r="L27" i="5"/>
  <c r="R60" i="5"/>
  <c r="R59" i="5" s="1"/>
  <c r="L59" i="5"/>
  <c r="U42" i="6"/>
  <c r="L37" i="6"/>
  <c r="R38" i="6"/>
  <c r="R37" i="6" s="1"/>
  <c r="L33" i="6"/>
  <c r="R34" i="6"/>
  <c r="R33" i="6" s="1"/>
  <c r="R51" i="9"/>
  <c r="R50" i="9" s="1"/>
  <c r="L50" i="9"/>
  <c r="R28" i="9"/>
  <c r="R27" i="9" s="1"/>
  <c r="L27" i="9"/>
  <c r="R10" i="12"/>
  <c r="R9" i="12" s="1"/>
  <c r="L9" i="12"/>
  <c r="R28" i="12"/>
  <c r="R27" i="12" s="1"/>
  <c r="L27" i="12"/>
  <c r="R38" i="13"/>
  <c r="R37" i="13" s="1"/>
  <c r="L37" i="13"/>
  <c r="O50" i="9"/>
  <c r="M27" i="6"/>
  <c r="S28" i="6"/>
  <c r="S27" i="6" s="1"/>
  <c r="S60" i="4"/>
  <c r="S59" i="4" s="1"/>
  <c r="M59" i="4"/>
  <c r="S46" i="6"/>
  <c r="S45" i="6" s="1"/>
  <c r="M45" i="6"/>
  <c r="S46" i="7"/>
  <c r="S45" i="7" s="1"/>
  <c r="M45" i="7"/>
  <c r="S38" i="7"/>
  <c r="S37" i="7" s="1"/>
  <c r="M37" i="7"/>
  <c r="S19" i="10"/>
  <c r="S18" i="10" s="1"/>
  <c r="M18" i="10"/>
  <c r="S51" i="8"/>
  <c r="S50" i="8" s="1"/>
  <c r="M50" i="8"/>
  <c r="S34" i="13"/>
  <c r="S33" i="13" s="1"/>
  <c r="M33" i="13"/>
  <c r="M45" i="15"/>
  <c r="S46" i="15"/>
  <c r="S45" i="15" s="1"/>
  <c r="S60" i="15"/>
  <c r="S59" i="15" s="1"/>
  <c r="M59" i="15"/>
  <c r="S51" i="15"/>
  <c r="S50" i="15" s="1"/>
  <c r="M50" i="15"/>
  <c r="T60" i="4"/>
  <c r="T59" i="4" s="1"/>
  <c r="N59" i="4"/>
  <c r="T38" i="4"/>
  <c r="T37" i="4" s="1"/>
  <c r="N37" i="4"/>
  <c r="T10" i="5"/>
  <c r="T9" i="5" s="1"/>
  <c r="N9" i="5"/>
  <c r="T46" i="5"/>
  <c r="T45" i="5" s="1"/>
  <c r="N45" i="5"/>
  <c r="U49" i="8"/>
  <c r="N45" i="6"/>
  <c r="T46" i="6"/>
  <c r="T45" i="6" s="1"/>
  <c r="T10" i="6"/>
  <c r="T9" i="6" s="1"/>
  <c r="N9" i="6"/>
  <c r="T19" i="7"/>
  <c r="T18" i="7" s="1"/>
  <c r="N18" i="7"/>
  <c r="T28" i="9"/>
  <c r="T27" i="9" s="1"/>
  <c r="N27" i="9"/>
  <c r="T34" i="8"/>
  <c r="T33" i="8" s="1"/>
  <c r="N33" i="8"/>
  <c r="T34" i="10"/>
  <c r="T33" i="10" s="1"/>
  <c r="N33" i="10"/>
  <c r="T34" i="14"/>
  <c r="T33" i="14" s="1"/>
  <c r="N33" i="14"/>
  <c r="T60" i="14"/>
  <c r="T59" i="14" s="1"/>
  <c r="N59" i="14"/>
  <c r="N45" i="16"/>
  <c r="T46" i="16"/>
  <c r="T45" i="16" s="1"/>
  <c r="T34" i="16"/>
  <c r="T33" i="16" s="1"/>
  <c r="N33" i="16"/>
  <c r="O37" i="15"/>
  <c r="O45" i="13"/>
  <c r="O33" i="7"/>
  <c r="O27" i="7"/>
  <c r="O59" i="7"/>
  <c r="AA24" i="2"/>
  <c r="AB24" i="2" s="1"/>
  <c r="U35" i="12"/>
  <c r="X33" i="2"/>
  <c r="X50" i="2"/>
  <c r="AA54" i="2"/>
  <c r="AB54" i="2" s="1"/>
  <c r="U30" i="3"/>
  <c r="U22" i="3"/>
  <c r="U57" i="3"/>
  <c r="W10" i="2"/>
  <c r="W9" i="2" s="1"/>
  <c r="O37" i="11"/>
  <c r="O45" i="8"/>
  <c r="O18" i="6"/>
  <c r="Q10" i="5"/>
  <c r="Q9" i="5" s="1"/>
  <c r="K9" i="5"/>
  <c r="K27" i="4"/>
  <c r="Q28" i="4"/>
  <c r="Q27" i="4" s="1"/>
  <c r="K50" i="6"/>
  <c r="Q51" i="6"/>
  <c r="Q50" i="6" s="1"/>
  <c r="K9" i="9"/>
  <c r="Q14" i="9"/>
  <c r="Q10" i="10"/>
  <c r="Q9" i="10" s="1"/>
  <c r="K9" i="10"/>
  <c r="Q51" i="8"/>
  <c r="K50" i="8"/>
  <c r="Q28" i="10"/>
  <c r="Q27" i="10" s="1"/>
  <c r="K27" i="10"/>
  <c r="Q34" i="8"/>
  <c r="K33" i="8"/>
  <c r="Q10" i="12"/>
  <c r="K9" i="12"/>
  <c r="K50" i="12"/>
  <c r="Q51" i="12"/>
  <c r="K9" i="13"/>
  <c r="Q10" i="13"/>
  <c r="Q9" i="13" s="1"/>
  <c r="Q38" i="15"/>
  <c r="Q37" i="15" s="1"/>
  <c r="K37" i="15"/>
  <c r="K50" i="14"/>
  <c r="Q53" i="14"/>
  <c r="U53" i="14" s="1"/>
  <c r="Q60" i="16"/>
  <c r="Q59" i="16" s="1"/>
  <c r="K59" i="16"/>
  <c r="Q60" i="15"/>
  <c r="Q59" i="15" s="1"/>
  <c r="K59" i="15"/>
  <c r="Q19" i="16"/>
  <c r="Q18" i="16" s="1"/>
  <c r="K18" i="16"/>
  <c r="O9" i="5"/>
  <c r="U21" i="11"/>
  <c r="R46" i="4"/>
  <c r="R45" i="4" s="1"/>
  <c r="L45" i="4"/>
  <c r="U58" i="6"/>
  <c r="L37" i="10"/>
  <c r="R38" i="10"/>
  <c r="R37" i="10" s="1"/>
  <c r="R46" i="6"/>
  <c r="R45" i="6" s="1"/>
  <c r="L45" i="6"/>
  <c r="U24" i="6"/>
  <c r="R34" i="8"/>
  <c r="R33" i="8" s="1"/>
  <c r="L33" i="8"/>
  <c r="R51" i="6"/>
  <c r="R50" i="6" s="1"/>
  <c r="L50" i="6"/>
  <c r="R38" i="9"/>
  <c r="R37" i="9" s="1"/>
  <c r="L37" i="9"/>
  <c r="R19" i="11"/>
  <c r="R18" i="11" s="1"/>
  <c r="L18" i="11"/>
  <c r="U30" i="12"/>
  <c r="R60" i="13"/>
  <c r="R59" i="13" s="1"/>
  <c r="L59" i="13"/>
  <c r="R60" i="12"/>
  <c r="R59" i="12" s="1"/>
  <c r="L59" i="12"/>
  <c r="L9" i="13"/>
  <c r="R10" i="13"/>
  <c r="R9" i="13" s="1"/>
  <c r="R19" i="14"/>
  <c r="R18" i="14" s="1"/>
  <c r="L18" i="14"/>
  <c r="L33" i="15"/>
  <c r="R34" i="15"/>
  <c r="R33" i="15" s="1"/>
  <c r="R51" i="15"/>
  <c r="R50" i="15" s="1"/>
  <c r="L50" i="15"/>
  <c r="L27" i="16"/>
  <c r="R28" i="16"/>
  <c r="R27" i="16" s="1"/>
  <c r="O37" i="12"/>
  <c r="O33" i="6"/>
  <c r="S51" i="5"/>
  <c r="S50" i="5" s="1"/>
  <c r="M50" i="5"/>
  <c r="S19" i="11"/>
  <c r="S18" i="11" s="1"/>
  <c r="M18" i="11"/>
  <c r="S34" i="8"/>
  <c r="S33" i="8" s="1"/>
  <c r="M33" i="8"/>
  <c r="M37" i="6"/>
  <c r="S38" i="6"/>
  <c r="S37" i="6" s="1"/>
  <c r="S51" i="7"/>
  <c r="S50" i="7" s="1"/>
  <c r="M50" i="7"/>
  <c r="S60" i="9"/>
  <c r="S59" i="9" s="1"/>
  <c r="M59" i="9"/>
  <c r="S51" i="10"/>
  <c r="S50" i="10" s="1"/>
  <c r="M50" i="10"/>
  <c r="M27" i="11"/>
  <c r="S28" i="11"/>
  <c r="S27" i="11" s="1"/>
  <c r="S60" i="11"/>
  <c r="S59" i="11" s="1"/>
  <c r="M59" i="11"/>
  <c r="S38" i="13"/>
  <c r="S37" i="13" s="1"/>
  <c r="M37" i="13"/>
  <c r="S51" i="12"/>
  <c r="S50" i="12" s="1"/>
  <c r="M50" i="12"/>
  <c r="S46" i="13"/>
  <c r="S45" i="13" s="1"/>
  <c r="M45" i="13"/>
  <c r="S19" i="14"/>
  <c r="S18" i="14" s="1"/>
  <c r="M18" i="14"/>
  <c r="S10" i="16"/>
  <c r="S9" i="16" s="1"/>
  <c r="M9" i="16"/>
  <c r="O45" i="16"/>
  <c r="U36" i="7"/>
  <c r="O45" i="7"/>
  <c r="N33" i="5"/>
  <c r="T34" i="5"/>
  <c r="T33" i="5" s="1"/>
  <c r="N18" i="4"/>
  <c r="T23" i="4"/>
  <c r="T60" i="8"/>
  <c r="T59" i="8" s="1"/>
  <c r="N59" i="8"/>
  <c r="T38" i="11"/>
  <c r="T37" i="11" s="1"/>
  <c r="N37" i="11"/>
  <c r="N37" i="9"/>
  <c r="T38" i="9"/>
  <c r="T37" i="9" s="1"/>
  <c r="T38" i="8"/>
  <c r="T37" i="8" s="1"/>
  <c r="N37" i="8"/>
  <c r="T51" i="9"/>
  <c r="T50" i="9" s="1"/>
  <c r="N50" i="9"/>
  <c r="T51" i="11"/>
  <c r="T50" i="11" s="1"/>
  <c r="N50" i="11"/>
  <c r="T19" i="14"/>
  <c r="T18" i="14" s="1"/>
  <c r="N18" i="14"/>
  <c r="N45" i="11"/>
  <c r="T46" i="11"/>
  <c r="T45" i="11" s="1"/>
  <c r="T60" i="12"/>
  <c r="T59" i="12" s="1"/>
  <c r="N59" i="12"/>
  <c r="N9" i="13"/>
  <c r="T10" i="13"/>
  <c r="T9" i="13" s="1"/>
  <c r="T28" i="13"/>
  <c r="T27" i="13" s="1"/>
  <c r="N27" i="13"/>
  <c r="T19" i="13"/>
  <c r="T18" i="13" s="1"/>
  <c r="N18" i="13"/>
  <c r="T28" i="14"/>
  <c r="T27" i="14" s="1"/>
  <c r="N27" i="14"/>
  <c r="N18" i="15"/>
  <c r="T19" i="15"/>
  <c r="T18" i="15" s="1"/>
  <c r="N18" i="16"/>
  <c r="T19" i="16"/>
  <c r="T18" i="16" s="1"/>
  <c r="T38" i="15"/>
  <c r="T37" i="15" s="1"/>
  <c r="N37" i="15"/>
  <c r="N27" i="16"/>
  <c r="T28" i="16"/>
  <c r="T27" i="16" s="1"/>
  <c r="O50" i="15"/>
  <c r="U14" i="12"/>
  <c r="O27" i="11"/>
  <c r="O9" i="4"/>
  <c r="U12" i="15"/>
  <c r="O37" i="7"/>
  <c r="T19" i="3"/>
  <c r="T18" i="3" s="1"/>
  <c r="N18" i="3"/>
  <c r="S28" i="3"/>
  <c r="S27" i="3" s="1"/>
  <c r="M27" i="3"/>
  <c r="R28" i="3"/>
  <c r="R27" i="3" s="1"/>
  <c r="L27" i="3"/>
  <c r="Q19" i="3"/>
  <c r="Q18" i="3" s="1"/>
  <c r="K18" i="3"/>
  <c r="Q46" i="3"/>
  <c r="Q45" i="3" s="1"/>
  <c r="K45" i="3"/>
  <c r="Q28" i="3"/>
  <c r="Q27" i="3" s="1"/>
  <c r="K27" i="3"/>
  <c r="Q51" i="3"/>
  <c r="Q50" i="3" s="1"/>
  <c r="K50" i="3"/>
  <c r="R19" i="3"/>
  <c r="R18" i="3" s="1"/>
  <c r="L18" i="3"/>
  <c r="S46" i="3"/>
  <c r="S45" i="3" s="1"/>
  <c r="M45" i="3"/>
  <c r="T60" i="3"/>
  <c r="T59" i="3" s="1"/>
  <c r="N59" i="3"/>
  <c r="S34" i="3"/>
  <c r="S33" i="3" s="1"/>
  <c r="M33" i="3"/>
  <c r="T51" i="3"/>
  <c r="T50" i="3" s="1"/>
  <c r="N50" i="3"/>
  <c r="O37" i="3"/>
  <c r="O27" i="3"/>
  <c r="O59" i="3"/>
  <c r="R51" i="3"/>
  <c r="R50" i="3" s="1"/>
  <c r="L50" i="3"/>
  <c r="R38" i="3"/>
  <c r="R37" i="3" s="1"/>
  <c r="L37" i="3"/>
  <c r="Q60" i="3"/>
  <c r="Q59" i="3" s="1"/>
  <c r="K59" i="3"/>
  <c r="Q38" i="3"/>
  <c r="Q37" i="3" s="1"/>
  <c r="K37" i="3"/>
  <c r="O45" i="3"/>
  <c r="T28" i="3"/>
  <c r="T27" i="3" s="1"/>
  <c r="N27" i="3"/>
  <c r="O33" i="3"/>
  <c r="O18" i="3"/>
  <c r="R60" i="3"/>
  <c r="R59" i="3" s="1"/>
  <c r="L59" i="3"/>
  <c r="R10" i="3"/>
  <c r="R9" i="3" s="1"/>
  <c r="L9" i="3"/>
  <c r="Q10" i="3"/>
  <c r="Q9" i="3" s="1"/>
  <c r="K9" i="3"/>
  <c r="S60" i="3"/>
  <c r="S59" i="3" s="1"/>
  <c r="M59" i="3"/>
  <c r="S38" i="3"/>
  <c r="S37" i="3" s="1"/>
  <c r="M37" i="3"/>
  <c r="T38" i="3"/>
  <c r="T37" i="3" s="1"/>
  <c r="N37" i="3"/>
  <c r="T34" i="3"/>
  <c r="T33" i="3" s="1"/>
  <c r="N33" i="3"/>
  <c r="R34" i="3"/>
  <c r="R33" i="3" s="1"/>
  <c r="L33" i="3"/>
  <c r="R46" i="3"/>
  <c r="R45" i="3" s="1"/>
  <c r="L45" i="3"/>
  <c r="Q34" i="3"/>
  <c r="Q33" i="3" s="1"/>
  <c r="K33" i="3"/>
  <c r="S51" i="3"/>
  <c r="S50" i="3" s="1"/>
  <c r="M50" i="3"/>
  <c r="S10" i="3"/>
  <c r="S9" i="3" s="1"/>
  <c r="M9" i="3"/>
  <c r="O9" i="3"/>
  <c r="S19" i="3"/>
  <c r="S18" i="3" s="1"/>
  <c r="M18" i="3"/>
  <c r="T10" i="3"/>
  <c r="T9" i="3" s="1"/>
  <c r="N9" i="3"/>
  <c r="O50" i="3"/>
  <c r="T46" i="3"/>
  <c r="T45" i="3" s="1"/>
  <c r="N45" i="3"/>
  <c r="R45" i="2"/>
  <c r="X15" i="1"/>
  <c r="X16" i="1"/>
  <c r="R37" i="2"/>
  <c r="X13" i="1"/>
  <c r="R50" i="2"/>
  <c r="S33" i="2"/>
  <c r="W10" i="1"/>
  <c r="W9" i="1" s="1"/>
  <c r="R9" i="2"/>
  <c r="S18" i="2"/>
  <c r="R59" i="2"/>
  <c r="O33" i="2"/>
  <c r="R33" i="2"/>
  <c r="R18" i="2"/>
  <c r="U10" i="1"/>
  <c r="U9" i="1" s="1"/>
  <c r="O59" i="2"/>
  <c r="R27" i="2"/>
  <c r="S27" i="2"/>
  <c r="P27" i="2"/>
  <c r="V10" i="1"/>
  <c r="V9" i="1" s="1"/>
  <c r="S37" i="2"/>
  <c r="P45" i="2"/>
  <c r="Q33" i="2"/>
  <c r="P37" i="2"/>
  <c r="S45" i="2"/>
  <c r="O45" i="2"/>
  <c r="X17" i="1"/>
  <c r="T10" i="1"/>
  <c r="T9" i="1" s="1"/>
  <c r="S50" i="2"/>
  <c r="O18" i="2"/>
  <c r="P9" i="2"/>
  <c r="S9" i="2"/>
  <c r="O9" i="2"/>
  <c r="Q50" i="2"/>
  <c r="Q9" i="2"/>
  <c r="Q18" i="2"/>
  <c r="Q45" i="2"/>
  <c r="O37" i="2"/>
  <c r="O27" i="2"/>
  <c r="O50" i="2"/>
  <c r="Q27" i="2"/>
  <c r="P33" i="2"/>
  <c r="Q37" i="2"/>
  <c r="P18" i="2"/>
  <c r="P50" i="2"/>
  <c r="V8" i="2" l="1"/>
  <c r="U8" i="2"/>
  <c r="M8" i="2"/>
  <c r="N8" i="2"/>
  <c r="I8" i="11"/>
  <c r="I8" i="4"/>
  <c r="P8" i="3"/>
  <c r="I8" i="5"/>
  <c r="I8" i="7"/>
  <c r="I8" i="10"/>
  <c r="J8" i="3"/>
  <c r="I8" i="8"/>
  <c r="I8" i="6"/>
  <c r="J8" i="6"/>
  <c r="R18" i="5"/>
  <c r="I8" i="14"/>
  <c r="I8" i="9"/>
  <c r="I8" i="3"/>
  <c r="J8" i="15"/>
  <c r="P8" i="12"/>
  <c r="P8" i="8"/>
  <c r="J8" i="10"/>
  <c r="J8" i="7"/>
  <c r="P8" i="7"/>
  <c r="J8" i="4"/>
  <c r="I8" i="12"/>
  <c r="J8" i="8"/>
  <c r="P8" i="10"/>
  <c r="P8" i="6"/>
  <c r="I8" i="13"/>
  <c r="I8" i="16"/>
  <c r="P8" i="4"/>
  <c r="I8" i="15"/>
  <c r="J8" i="5"/>
  <c r="P8" i="5"/>
  <c r="P8" i="13"/>
  <c r="J8" i="14"/>
  <c r="P8" i="9"/>
  <c r="J8" i="9"/>
  <c r="P8" i="15"/>
  <c r="J8" i="13"/>
  <c r="P8" i="11"/>
  <c r="J8" i="12"/>
  <c r="P8" i="14"/>
  <c r="J8" i="11"/>
  <c r="J8" i="16"/>
  <c r="P8" i="16"/>
  <c r="U60" i="7"/>
  <c r="U59" i="7" s="1"/>
  <c r="U34" i="7"/>
  <c r="U33" i="7" s="1"/>
  <c r="S18" i="8"/>
  <c r="S8" i="8" s="1"/>
  <c r="U34" i="14"/>
  <c r="O8" i="4"/>
  <c r="U34" i="8"/>
  <c r="U33" i="8" s="1"/>
  <c r="U46" i="8"/>
  <c r="U45" i="8" s="1"/>
  <c r="S45" i="9"/>
  <c r="S8" i="9" s="1"/>
  <c r="U46" i="7"/>
  <c r="U45" i="7" s="1"/>
  <c r="AA60" i="2"/>
  <c r="AA59" i="2" s="1"/>
  <c r="U28" i="7"/>
  <c r="U27" i="7" s="1"/>
  <c r="U38" i="7"/>
  <c r="U37" i="7" s="1"/>
  <c r="U51" i="3"/>
  <c r="U50" i="3" s="1"/>
  <c r="U19" i="5"/>
  <c r="U18" i="5" s="1"/>
  <c r="U34" i="11"/>
  <c r="U33" i="11" s="1"/>
  <c r="N8" i="6"/>
  <c r="U10" i="8"/>
  <c r="U9" i="8" s="1"/>
  <c r="U19" i="6"/>
  <c r="U18" i="6" s="1"/>
  <c r="U60" i="6"/>
  <c r="U59" i="6" s="1"/>
  <c r="U51" i="16"/>
  <c r="U50" i="16" s="1"/>
  <c r="AA33" i="2"/>
  <c r="U51" i="13"/>
  <c r="U50" i="13" s="1"/>
  <c r="U46" i="16"/>
  <c r="U45" i="16" s="1"/>
  <c r="U28" i="11"/>
  <c r="U27" i="11" s="1"/>
  <c r="S8" i="16"/>
  <c r="U51" i="14"/>
  <c r="U50" i="14" s="1"/>
  <c r="U28" i="6"/>
  <c r="U51" i="15"/>
  <c r="U38" i="12"/>
  <c r="U37" i="12" s="1"/>
  <c r="Q9" i="8"/>
  <c r="Y8" i="2"/>
  <c r="AA45" i="2"/>
  <c r="Q33" i="7"/>
  <c r="R8" i="11"/>
  <c r="U10" i="5"/>
  <c r="U9" i="5" s="1"/>
  <c r="U51" i="8"/>
  <c r="U50" i="8" s="1"/>
  <c r="O8" i="15"/>
  <c r="Q8" i="3"/>
  <c r="O8" i="5"/>
  <c r="K8" i="12"/>
  <c r="K8" i="10"/>
  <c r="K8" i="5"/>
  <c r="U19" i="9"/>
  <c r="U18" i="9" s="1"/>
  <c r="U10" i="4"/>
  <c r="U9" i="4" s="1"/>
  <c r="U34" i="6"/>
  <c r="U33" i="6" s="1"/>
  <c r="U10" i="12"/>
  <c r="U9" i="12" s="1"/>
  <c r="Q8" i="10"/>
  <c r="W8" i="2"/>
  <c r="O8" i="9"/>
  <c r="U19" i="12"/>
  <c r="U18" i="12" s="1"/>
  <c r="T8" i="8"/>
  <c r="Z8" i="2"/>
  <c r="M8" i="3"/>
  <c r="U51" i="12"/>
  <c r="U50" i="12" s="1"/>
  <c r="U38" i="16"/>
  <c r="U37" i="16" s="1"/>
  <c r="U10" i="14"/>
  <c r="U9" i="14" s="1"/>
  <c r="T8" i="13"/>
  <c r="U46" i="4"/>
  <c r="U45" i="4" s="1"/>
  <c r="Q50" i="8"/>
  <c r="U28" i="5"/>
  <c r="U27" i="5" s="1"/>
  <c r="S8" i="13"/>
  <c r="L8" i="11"/>
  <c r="O8" i="11"/>
  <c r="L8" i="5"/>
  <c r="K8" i="14"/>
  <c r="Q33" i="8"/>
  <c r="K8" i="7"/>
  <c r="U38" i="9"/>
  <c r="U37" i="9" s="1"/>
  <c r="U60" i="12"/>
  <c r="U59" i="12" s="1"/>
  <c r="U51" i="6"/>
  <c r="U50" i="6" s="1"/>
  <c r="N8" i="12"/>
  <c r="M8" i="6"/>
  <c r="O8" i="13"/>
  <c r="U60" i="8"/>
  <c r="U59" i="8" s="1"/>
  <c r="T8" i="9"/>
  <c r="T8" i="11"/>
  <c r="S8" i="4"/>
  <c r="U34" i="12"/>
  <c r="U33" i="12" s="1"/>
  <c r="L8" i="8"/>
  <c r="Q9" i="12"/>
  <c r="U34" i="13"/>
  <c r="Q33" i="14"/>
  <c r="AA50" i="2"/>
  <c r="N8" i="3"/>
  <c r="N8" i="13"/>
  <c r="Q50" i="12"/>
  <c r="U38" i="15"/>
  <c r="U37" i="15" s="1"/>
  <c r="L8" i="12"/>
  <c r="K8" i="15"/>
  <c r="U19" i="15"/>
  <c r="U18" i="15" s="1"/>
  <c r="T8" i="7"/>
  <c r="U19" i="13"/>
  <c r="Q27" i="6"/>
  <c r="Q8" i="6" s="1"/>
  <c r="U10" i="11"/>
  <c r="U9" i="11" s="1"/>
  <c r="U51" i="10"/>
  <c r="U50" i="10" s="1"/>
  <c r="K8" i="8"/>
  <c r="U46" i="11"/>
  <c r="U45" i="11" s="1"/>
  <c r="U60" i="15"/>
  <c r="U59" i="15" s="1"/>
  <c r="U51" i="11"/>
  <c r="U50" i="11" s="1"/>
  <c r="T8" i="12"/>
  <c r="S8" i="6"/>
  <c r="U60" i="9"/>
  <c r="U59" i="9" s="1"/>
  <c r="R18" i="13"/>
  <c r="R8" i="13" s="1"/>
  <c r="U22" i="13"/>
  <c r="L8" i="7"/>
  <c r="U10" i="13"/>
  <c r="U9" i="13" s="1"/>
  <c r="U28" i="8"/>
  <c r="U27" i="8" s="1"/>
  <c r="N8" i="10"/>
  <c r="T27" i="6"/>
  <c r="T8" i="6" s="1"/>
  <c r="U30" i="6"/>
  <c r="R8" i="8"/>
  <c r="Q27" i="5"/>
  <c r="T27" i="5"/>
  <c r="T8" i="5" s="1"/>
  <c r="L8" i="4"/>
  <c r="U46" i="10"/>
  <c r="U45" i="10" s="1"/>
  <c r="Q37" i="7"/>
  <c r="R8" i="12"/>
  <c r="M8" i="15"/>
  <c r="U46" i="5"/>
  <c r="U45" i="5" s="1"/>
  <c r="U19" i="14"/>
  <c r="U18" i="14" s="1"/>
  <c r="U19" i="10"/>
  <c r="U18" i="10" s="1"/>
  <c r="U19" i="8"/>
  <c r="U18" i="8" s="1"/>
  <c r="U34" i="5"/>
  <c r="U33" i="5" s="1"/>
  <c r="U60" i="14"/>
  <c r="U59" i="14" s="1"/>
  <c r="Q37" i="5"/>
  <c r="U38" i="5"/>
  <c r="U37" i="5" s="1"/>
  <c r="X8" i="2"/>
  <c r="M8" i="16"/>
  <c r="M8" i="8"/>
  <c r="K8" i="6"/>
  <c r="U28" i="10"/>
  <c r="U27" i="10" s="1"/>
  <c r="U10" i="6"/>
  <c r="U9" i="6" s="1"/>
  <c r="S8" i="14"/>
  <c r="M8" i="11"/>
  <c r="Q8" i="13"/>
  <c r="R8" i="4"/>
  <c r="U32" i="4"/>
  <c r="L8" i="13"/>
  <c r="U38" i="11"/>
  <c r="U37" i="11" s="1"/>
  <c r="N8" i="5"/>
  <c r="U51" i="9"/>
  <c r="U50" i="9" s="1"/>
  <c r="U28" i="16"/>
  <c r="U27" i="16" s="1"/>
  <c r="O8" i="8"/>
  <c r="S8" i="15"/>
  <c r="U38" i="13"/>
  <c r="L8" i="15"/>
  <c r="U60" i="10"/>
  <c r="U59" i="10" s="1"/>
  <c r="Q50" i="14"/>
  <c r="U10" i="10"/>
  <c r="U9" i="10" s="1"/>
  <c r="M8" i="12"/>
  <c r="U60" i="16"/>
  <c r="U59" i="16" s="1"/>
  <c r="U46" i="14"/>
  <c r="U45" i="14" s="1"/>
  <c r="O8" i="16"/>
  <c r="L8" i="10"/>
  <c r="O8" i="6"/>
  <c r="T8" i="16"/>
  <c r="S8" i="11"/>
  <c r="Q8" i="11"/>
  <c r="U19" i="11"/>
  <c r="U18" i="11" s="1"/>
  <c r="M8" i="7"/>
  <c r="R37" i="5"/>
  <c r="U46" i="12"/>
  <c r="U45" i="12" s="1"/>
  <c r="U10" i="7"/>
  <c r="U9" i="7" s="1"/>
  <c r="AA18" i="2"/>
  <c r="AA27" i="2"/>
  <c r="T18" i="4"/>
  <c r="T8" i="4" s="1"/>
  <c r="U23" i="4"/>
  <c r="O8" i="7"/>
  <c r="O8" i="12"/>
  <c r="N8" i="4"/>
  <c r="R8" i="9"/>
  <c r="Q50" i="5"/>
  <c r="U55" i="5"/>
  <c r="U28" i="12"/>
  <c r="U27" i="12" s="1"/>
  <c r="U34" i="4"/>
  <c r="U33" i="4" s="1"/>
  <c r="L8" i="16"/>
  <c r="O8" i="10"/>
  <c r="AB38" i="2"/>
  <c r="AB37" i="2" s="1"/>
  <c r="AA37" i="2"/>
  <c r="U60" i="11"/>
  <c r="U59" i="11" s="1"/>
  <c r="S8" i="12"/>
  <c r="L8" i="9"/>
  <c r="S45" i="5"/>
  <c r="U10" i="16"/>
  <c r="U9" i="16" s="1"/>
  <c r="U28" i="9"/>
  <c r="U27" i="9" s="1"/>
  <c r="N8" i="16"/>
  <c r="Q9" i="15"/>
  <c r="U10" i="15"/>
  <c r="U9" i="15" s="1"/>
  <c r="K8" i="11"/>
  <c r="S8" i="7"/>
  <c r="R8" i="7"/>
  <c r="AA10" i="2"/>
  <c r="U28" i="13"/>
  <c r="U27" i="13" s="1"/>
  <c r="O8" i="14"/>
  <c r="U38" i="4"/>
  <c r="U28" i="14"/>
  <c r="U27" i="14" s="1"/>
  <c r="R8" i="15"/>
  <c r="R8" i="14"/>
  <c r="U60" i="13"/>
  <c r="U59" i="13" s="1"/>
  <c r="R8" i="16"/>
  <c r="U34" i="9"/>
  <c r="U33" i="9" s="1"/>
  <c r="Q37" i="4"/>
  <c r="Q8" i="4" s="1"/>
  <c r="U42" i="4"/>
  <c r="U34" i="16"/>
  <c r="U33" i="16" s="1"/>
  <c r="T8" i="14"/>
  <c r="U38" i="14"/>
  <c r="U37" i="14" s="1"/>
  <c r="U46" i="15"/>
  <c r="U45" i="15" s="1"/>
  <c r="U46" i="9"/>
  <c r="U45" i="9" s="1"/>
  <c r="U10" i="9"/>
  <c r="N8" i="15"/>
  <c r="S9" i="5"/>
  <c r="Q8" i="16"/>
  <c r="Q9" i="9"/>
  <c r="Q8" i="9" s="1"/>
  <c r="U14" i="9"/>
  <c r="M8" i="5"/>
  <c r="L8" i="14"/>
  <c r="U28" i="15"/>
  <c r="U27" i="15" s="1"/>
  <c r="U19" i="7"/>
  <c r="U18" i="7" s="1"/>
  <c r="L8" i="6"/>
  <c r="K8" i="13"/>
  <c r="N8" i="14"/>
  <c r="R8" i="10"/>
  <c r="K8" i="16"/>
  <c r="K8" i="4"/>
  <c r="U60" i="4"/>
  <c r="U59" i="4" s="1"/>
  <c r="U51" i="5"/>
  <c r="T8" i="10"/>
  <c r="U19" i="4"/>
  <c r="U34" i="15"/>
  <c r="U33" i="15" s="1"/>
  <c r="M8" i="10"/>
  <c r="U38" i="8"/>
  <c r="U37" i="8" s="1"/>
  <c r="T8" i="15"/>
  <c r="U28" i="4"/>
  <c r="U38" i="6"/>
  <c r="U37" i="6" s="1"/>
  <c r="U19" i="16"/>
  <c r="U18" i="16" s="1"/>
  <c r="U35" i="13"/>
  <c r="S8" i="3"/>
  <c r="U19" i="3"/>
  <c r="U18" i="3" s="1"/>
  <c r="U46" i="13"/>
  <c r="U45" i="13" s="1"/>
  <c r="U34" i="10"/>
  <c r="U33" i="10" s="1"/>
  <c r="M8" i="13"/>
  <c r="U60" i="5"/>
  <c r="U59" i="5" s="1"/>
  <c r="U51" i="7"/>
  <c r="U50" i="7" s="1"/>
  <c r="N8" i="8"/>
  <c r="U46" i="6"/>
  <c r="U45" i="6" s="1"/>
  <c r="R8" i="6"/>
  <c r="U38" i="10"/>
  <c r="U37" i="10" s="1"/>
  <c r="N8" i="7"/>
  <c r="M8" i="14"/>
  <c r="M8" i="4"/>
  <c r="Q50" i="15"/>
  <c r="U52" i="15"/>
  <c r="N8" i="9"/>
  <c r="N8" i="11"/>
  <c r="S8" i="10"/>
  <c r="K8" i="9"/>
  <c r="M8" i="9"/>
  <c r="U51" i="4"/>
  <c r="U50" i="4" s="1"/>
  <c r="U39" i="13"/>
  <c r="U36" i="14"/>
  <c r="U10" i="3"/>
  <c r="U9" i="3" s="1"/>
  <c r="U46" i="3"/>
  <c r="U45" i="3" s="1"/>
  <c r="U60" i="3"/>
  <c r="U59" i="3" s="1"/>
  <c r="T8" i="3"/>
  <c r="K8" i="3"/>
  <c r="U34" i="3"/>
  <c r="U33" i="3" s="1"/>
  <c r="U28" i="3"/>
  <c r="U27" i="3" s="1"/>
  <c r="L8" i="3"/>
  <c r="U38" i="3"/>
  <c r="U37" i="3" s="1"/>
  <c r="O8" i="3"/>
  <c r="R8" i="3"/>
  <c r="X10" i="1"/>
  <c r="X9" i="1" s="1"/>
  <c r="R8" i="2"/>
  <c r="S8" i="2"/>
  <c r="P8" i="2"/>
  <c r="AB18" i="2"/>
  <c r="Q8" i="2"/>
  <c r="O8" i="2"/>
  <c r="AB50" i="2"/>
  <c r="AB45" i="2"/>
  <c r="AB27" i="2"/>
  <c r="R8" i="5" l="1"/>
  <c r="Q8" i="7"/>
  <c r="U33" i="14"/>
  <c r="U8" i="14" s="1"/>
  <c r="U50" i="15"/>
  <c r="U8" i="15" s="1"/>
  <c r="AB60" i="2"/>
  <c r="AB59" i="2" s="1"/>
  <c r="U27" i="6"/>
  <c r="U8" i="6" s="1"/>
  <c r="U50" i="5"/>
  <c r="U8" i="5" s="1"/>
  <c r="U27" i="4"/>
  <c r="Q8" i="8"/>
  <c r="S8" i="5"/>
  <c r="Q8" i="14"/>
  <c r="U18" i="13"/>
  <c r="U8" i="8"/>
  <c r="U8" i="12"/>
  <c r="Q8" i="12"/>
  <c r="U8" i="7"/>
  <c r="U8" i="11"/>
  <c r="AB10" i="2"/>
  <c r="AB9" i="2" s="1"/>
  <c r="AA9" i="2"/>
  <c r="AA8" i="2" s="1"/>
  <c r="U37" i="13"/>
  <c r="U8" i="16"/>
  <c r="U18" i="4"/>
  <c r="U37" i="4"/>
  <c r="U8" i="10"/>
  <c r="Q8" i="5"/>
  <c r="U9" i="9"/>
  <c r="U8" i="9" s="1"/>
  <c r="Q8" i="15"/>
  <c r="U33" i="13"/>
  <c r="U8" i="3"/>
  <c r="AB33" i="2"/>
  <c r="U8" i="13" l="1"/>
  <c r="U8" i="4"/>
  <c r="AB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T4" authorId="0" shapeId="0" xr:uid="{1602AC93-FE1B-42BA-9548-8EDE80C77336}">
      <text>
        <r>
          <rPr>
            <sz val="12"/>
            <color indexed="81"/>
            <rFont val="Khmer OS Battambang"/>
          </rPr>
          <t xml:space="preserve">តួរលេខត្រូវយកទៅប្រើប្រាស់សម្រាប់បញ្ចូលក្នុងគម្រោងចំណាយថវិកាបន្ទុកបុគ្គលិកតាមអនុវិស័យ និងកម្មវិធីរបស់មន្ទីរអប់រំ យុវជន និងកីឡា។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O5" authorId="0" shapeId="0" xr:uid="{586CA6DC-E2B8-4823-AA55-5F2F4928E896}">
      <text>
        <r>
          <rPr>
            <sz val="11"/>
            <color indexed="81"/>
            <rFont val="Khmer OS Battambang"/>
          </rPr>
          <t>តួរលេខត្រូវយកទៅប្រើប្រាស់សម្រាប់បញ្ចូលក្នុងគម្រោងចំណាយថវិកាបន្ទុកបុគ្គលិកតាមអនុវិស័យរបស់ការិយាល័យអប់រំ យុវជន និងកីឡា។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O5" authorId="0" shapeId="0" xr:uid="{94528F32-3799-493A-A37A-F4840F3DC0BD}">
      <text>
        <r>
          <rPr>
            <sz val="11"/>
            <color indexed="81"/>
            <rFont val="Khmer OS Battambang"/>
          </rPr>
          <t>តួរលេខត្រូវយកទៅប្រើប្រាស់សម្រាប់បញ្ចូលក្នុងគម្រោងចំណាយថវិកាបន្ទុកបុគ្គលិកតាមអនុវិស័យរបស់ការិយាល័យអប់រំ យុវជន និងកីឡា។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O5" authorId="0" shapeId="0" xr:uid="{8571E732-193B-41B2-B690-ADEB8A8D4828}">
      <text>
        <r>
          <rPr>
            <sz val="11"/>
            <color indexed="81"/>
            <rFont val="Khmer OS Battambang"/>
          </rPr>
          <t>តួរលេខត្រូវយកទៅប្រើប្រាស់សម្រាប់បញ្ចូលក្នុងគម្រោងចំណាយថវិកាបន្ទុកបុគ្គលិកតាមអនុវិស័យរបស់ការិយាល័យអប់រំ យុវជន និងកីឡា។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O5" authorId="0" shapeId="0" xr:uid="{EC49C910-F29E-4568-BB23-775BE1A77070}">
      <text>
        <r>
          <rPr>
            <sz val="11"/>
            <color indexed="81"/>
            <rFont val="Khmer OS Battambang"/>
          </rPr>
          <t>តួរលេខត្រូវយកទៅប្រើប្រាស់សម្រាប់បញ្ចូលក្នុងគម្រោងចំណាយថវិកាបន្ទុកបុគ្គលិកតាមអនុវិស័យរបស់ការិយាល័យអប់រំ យុវជន និងកីឡា។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O5" authorId="0" shapeId="0" xr:uid="{4E35F76F-652B-405E-B132-D7E5CBD96F25}">
      <text>
        <r>
          <rPr>
            <sz val="11"/>
            <color indexed="81"/>
            <rFont val="Khmer OS Battambang"/>
          </rPr>
          <t>តួរលេខត្រូវយកទៅប្រើប្រាស់សម្រាប់បញ្ចូលក្នុងគម្រោងចំណាយថវិកាបន្ទុកបុគ្គលិកតាមអនុវិស័យរបស់ការិយាល័យអប់រំ យុវជន និងកីឡា។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O5" authorId="0" shapeId="0" xr:uid="{71B501FA-ABB9-43CE-A771-4EE5D4E2489E}">
      <text>
        <r>
          <rPr>
            <sz val="11"/>
            <color indexed="81"/>
            <rFont val="Khmer OS Battambang"/>
          </rPr>
          <t>តួរលេខត្រូវយកទៅប្រើប្រាស់សម្រាប់បញ្ចូលក្នុងគម្រោងចំណាយថវិកាបន្ទុកបុគ្គលិកតាមអនុវិស័យរបស់ការិយាល័យអប់រំ យុវជន និងកីឡា។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O5" authorId="0" shapeId="0" xr:uid="{E48891E5-BC1E-4C5A-B01F-1E8A36264CF5}">
      <text>
        <r>
          <rPr>
            <sz val="11"/>
            <color indexed="81"/>
            <rFont val="Khmer OS Battambang"/>
          </rPr>
          <t>តួរលេខត្រូវយកទៅប្រើប្រាស់សម្រាប់បញ្ចូលក្នុងគម្រោងចំណាយថវិកាបន្ទុកបុគ្គលិកតាមអនុវិស័យរបស់ការិយាល័យអប់រំ យុវជន និងកីឡា។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O5" authorId="0" shapeId="0" xr:uid="{34A977A2-2E2E-4FEC-9F54-63AC97290669}">
      <text>
        <r>
          <rPr>
            <sz val="11"/>
            <color indexed="81"/>
            <rFont val="Khmer OS Battambang"/>
          </rPr>
          <t>តួរលេខត្រូវយកទៅប្រើប្រាស់សម្រាប់បញ្ចូលក្នុងគម្រោងចំណាយថវិកាបន្ទុកបុគ្គលិកតាមអនុវិស័យរបស់ការិយាល័យអប់រំ យុវជន និងកីឡា។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O5" authorId="0" shapeId="0" xr:uid="{A839FA31-6659-49F3-921D-8A18A28AD08E}">
      <text>
        <r>
          <rPr>
            <sz val="11"/>
            <color indexed="81"/>
            <rFont val="Khmer OS Battambang"/>
          </rPr>
          <t>តួរលេខត្រូវយកទៅប្រើប្រាស់សម្រាប់បញ្ចូលក្នុងគម្រោងចំណាយថវិកាបន្ទុកបុគ្គលិកតាមអនុវិស័យរបស់ការិយាល័យអប់រំ យុវជន និងកីឡា។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O5" authorId="0" shapeId="0" xr:uid="{9C48003D-DCCF-4E5D-B555-33DB8846593D}">
      <text>
        <r>
          <rPr>
            <sz val="11"/>
            <color indexed="81"/>
            <rFont val="Khmer OS Battambang"/>
          </rPr>
          <t>តួរលេខត្រូវយកទៅប្រើប្រាស់សម្រាប់បញ្ចូលក្នុងគម្រោងចំណាយថវិកាបន្ទុកបុគ្គលិកតាមអនុវិស័យរបស់ការិយាល័យអប់រំ យុវជន និងកីឡា។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O5" authorId="0" shapeId="0" xr:uid="{58161EDC-6AB7-4ABE-9858-D5C321394678}">
      <text>
        <r>
          <rPr>
            <sz val="11"/>
            <color indexed="81"/>
            <rFont val="Khmer OS Battambang"/>
          </rPr>
          <t>តួរលេខត្រូវយកទៅប្រើប្រាស់សម្រាប់បញ្ចូលក្នុងគម្រោងចំណាយថវិកាបន្ទុកបុគ្គលិកតាមអនុវិស័យរបស់ការិយាល័យអប់រំ យុវជន និងកីឡា។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O5" authorId="0" shapeId="0" xr:uid="{717F56CC-1D98-4D30-A389-347A01739996}">
      <text>
        <r>
          <rPr>
            <sz val="11"/>
            <color indexed="81"/>
            <rFont val="Khmer OS Battambang"/>
          </rPr>
          <t>តួរលេខត្រូវយកទៅប្រើប្រាស់សម្រាប់បញ្ចូលក្នុងគម្រោងចំណាយថវិកាបន្ទុកបុគ្គលិកតាមអនុវិស័យរបស់ការិយាល័យអប់រំ យុវជន និងកីឡា។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O5" authorId="0" shapeId="0" xr:uid="{EEA010E2-65DC-4431-BA34-86DFFF8C24B3}">
      <text>
        <r>
          <rPr>
            <sz val="11"/>
            <color indexed="81"/>
            <rFont val="Khmer OS Battambang"/>
          </rPr>
          <t>តួរលេខត្រូវយកទៅប្រើប្រាស់សម្រាប់បញ្ចូលក្នុងគម្រោងចំណាយថវិកាបន្ទុកបុគ្គលិកតាមអនុវិស័យរបស់ការិយាល័យអប់រំ យុវជន និងកីឡា។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O5" authorId="0" shapeId="0" xr:uid="{AE330128-9218-4EC3-92F6-C14672C14130}">
      <text>
        <r>
          <rPr>
            <sz val="11"/>
            <color indexed="81"/>
            <rFont val="Khmer OS Battambang"/>
          </rPr>
          <t>តួរលេខត្រូវយកទៅប្រើប្រាស់សម្រាប់បញ្ចូលក្នុងគម្រោងចំណាយថវិកាបន្ទុកបុគ្គលិកតាមអនុវិស័យរបស់ការិយាល័យអប់រំ យុវជន និងកីឡា។</t>
        </r>
      </text>
    </comment>
  </commentList>
</comments>
</file>

<file path=xl/sharedStrings.xml><?xml version="1.0" encoding="utf-8"?>
<sst xmlns="http://schemas.openxmlformats.org/spreadsheetml/2006/main" count="1220" uniqueCount="107">
  <si>
    <t>ព្រះរាជាណាចក្រកម្ពុជា</t>
  </si>
  <si>
    <t>ក្រសួងអប់រំ យុវជន និងកីឡា</t>
  </si>
  <si>
    <t>ជាតិ សាសនា ព្រះមហាក្សត្រ</t>
  </si>
  <si>
    <t>មន្ទីរអប់រំ យុវជន និងកីឡា.......................</t>
  </si>
  <si>
    <t>តារាងវិភាជថវិកាបន្ទុកបុគ្គលិកតាមអនុវិស័យសម្រាប់ការគ្រប់គ្រងឆ្នាំ២០២៥</t>
  </si>
  <si>
    <t>ឯកតាគិត៖ លានរៀល</t>
  </si>
  <si>
    <t>ល</t>
  </si>
  <si>
    <t>អនុវិស័យ</t>
  </si>
  <si>
    <t>ការិយាល័យអប់រំ យុវជន និងកីឡា</t>
  </si>
  <si>
    <t>មន្ទីរ.អយក</t>
  </si>
  <si>
    <t>វិភាជឥណទានថវិកាមន្ត្រីគាំទ្រអនុវិស័យ</t>
  </si>
  <si>
    <t>វិភាជឥណទានថវិកាតាមអនុវិស័យ</t>
  </si>
  <si>
    <t>សរុប</t>
  </si>
  <si>
    <t>%</t>
  </si>
  <si>
    <t>#ការិ.អយក</t>
  </si>
  <si>
    <t>#មន្ទីរ.អយក</t>
  </si>
  <si>
    <t>15=1+2+..+14</t>
  </si>
  <si>
    <t>17=(15+16)/(Q10+R10)</t>
  </si>
  <si>
    <t>18=17*Q18</t>
  </si>
  <si>
    <t>19=17*R18</t>
  </si>
  <si>
    <t>20=15+18</t>
  </si>
  <si>
    <t>21=16+19</t>
  </si>
  <si>
    <t>22=20+21</t>
  </si>
  <si>
    <t>សរុប(ក+ខ)</t>
  </si>
  <si>
    <t>ក. ឥណទានថវិកាគ្រោងបន្ទុកបុគ្គលិកសម្រាប់មន្ត្រីតាមអនុវិស័យ</t>
  </si>
  <si>
    <t>អនុវិស័យការអប់រំកុមារតូច</t>
  </si>
  <si>
    <t>អនុវិស័យការអប់រំបឋមសិក្សា</t>
  </si>
  <si>
    <t>អនុវិស័យការអប់រំមធ្យមសិក្សា និងអប់រំបច្ចេកទេស</t>
  </si>
  <si>
    <t>អនុវិស័យឧត្តមសិក្សា</t>
  </si>
  <si>
    <t>អនុវិស័យការអប់រំក្រៅប្រព័ន្ធ</t>
  </si>
  <si>
    <t>អនុវិស័យការអភិវឌ្ឍយុវជន</t>
  </si>
  <si>
    <t>អនុវិស័យការអប់រំកាយ និងកីឡា</t>
  </si>
  <si>
    <t>ខ. ឥណទានថវិកាគ្រោងបន្ទុកបុគ្គលិកសម្រាប់មន្ត្រីគាំទ្រអនុវិស័យ</t>
  </si>
  <si>
    <t>.........................................ថ្ងៃទី...........ខែ..............ឆ្នាំ២០២៤</t>
  </si>
  <si>
    <t>បានពិនិត្យនិងត្រឹមត្រូវ</t>
  </si>
  <si>
    <t>អ្នកធ្វើតារាង</t>
  </si>
  <si>
    <t>បានឃើញនិងឯកភាព</t>
  </si>
  <si>
    <t>ប្រធានការិយាល័យ...............................</t>
  </si>
  <si>
    <t>ប្រធានមន្ទីរអប់រំ យុវជន និងកីឡា..............</t>
  </si>
  <si>
    <t>ជំពូក</t>
  </si>
  <si>
    <t>គណនី</t>
  </si>
  <si>
    <t>អនុគណនី</t>
  </si>
  <si>
    <t>បរិយាយ</t>
  </si>
  <si>
    <t>បន្ទុកបុគ្គលិក</t>
  </si>
  <si>
    <t>ខុទ្ទកាល័យព្រះបរមរាជវាំង</t>
  </si>
  <si>
    <t>ប្រាក់បំណាច់ នាយករដ្ឋមន្ត្រី និងឧបនាយករដ្ឋមន្ត្រី</t>
  </si>
  <si>
    <t>ប្រាក់បំណាច់ រដ្ឋមន្ត្រី រដ្ឋលេខាធិការ 
និងអនុរដ្ឋលេខាធិការ</t>
  </si>
  <si>
    <t>ប្រាក់បំណាច់អង្គទូត</t>
  </si>
  <si>
    <t>លាភការទី ប្រឹក្សា</t>
  </si>
  <si>
    <t>លាភការបេសកជន</t>
  </si>
  <si>
    <t>លាភការអ្នកជំនួយការ</t>
  </si>
  <si>
    <t>លាភការនិងប្រាក់បំណាច់ បុគ្គលិកក្របខ័ណ្ឌ
អចិន្ត្រៃយ៍</t>
  </si>
  <si>
    <t>បៀវត្សមូលដ្ឋាន</t>
  </si>
  <si>
    <t>ប្រាក់បំណាច់មុខងារ</t>
  </si>
  <si>
    <t>ប្រាក់បំណាច់ម៉ោងបន្ថែម</t>
  </si>
  <si>
    <t>ប្រាក់កំរៃគរុកោសល្យ</t>
  </si>
  <si>
    <t>ប្រាក់បំប៉នជីវភាពពិសេស</t>
  </si>
  <si>
    <t>ប្រាក់បំណាច់តំបន់</t>
  </si>
  <si>
    <t>ប្រាក់បំណាច់ទទួលខុសត្រូវ</t>
  </si>
  <si>
    <t>ប្រាក់បំណាច់ការងារធ្ងន់ និងប៉ះពាល់សុខភាព</t>
  </si>
  <si>
    <t>ប្រាក់បំណាច់ផ្សេងៗ</t>
  </si>
  <si>
    <t>រង្វាន់​</t>
  </si>
  <si>
    <t>ប្រាក់បំណាច់បុគ្គលិកអង្គភាពផ្សេងៗ</t>
  </si>
  <si>
    <t>ប្រាក់បំណាច់គ្រូបង្គោលអង្គភាពផ្សេងៗ</t>
  </si>
  <si>
    <t>ប្រាក់ឧបត្ថម្ភក្រុមប្រឹក្សាភិបាលរបស់គ្រឹះស្ថាន
សាធារណៈរដ្ឋបាល និងរបស់អង្គភាពដទៃទៀត</t>
  </si>
  <si>
    <t>លាភការ និងប្រាក់បំណាច់បុគ្គលិកមិនមែនក្របខ័ណ្ឌ</t>
  </si>
  <si>
    <t>បៀវត្សមូលដ្ឋានបុគ្គលិកជាប់កិច្ចសន្យា</t>
  </si>
  <si>
    <t>លាភការផ្សេងៗទៀត បុគ្គលិកជាប់កិច្ចសន្យា</t>
  </si>
  <si>
    <t>លាភការផ្សេងៗ</t>
  </si>
  <si>
    <t>ប្រាក់វិភាជន៍សង្គមសម្រាប់មន្ត្រីរាជការ និងបុគ្គលិកផ្សេងៗ</t>
  </si>
  <si>
    <t>មន្ត្រីមានជម្ងឺ</t>
  </si>
  <si>
    <t>អ្នកសម្រាលកូន</t>
  </si>
  <si>
    <t>មរណៈភាព</t>
  </si>
  <si>
    <t>ឧបត្ថម្ភនិវត្តជន</t>
  </si>
  <si>
    <t>ឧបត្ថម្ភដល់អ្នកសុំឈប់ពីការងារ</t>
  </si>
  <si>
    <t>គ្រោះថ្នាក់ក្នុងការងារនិងទព្វលភាព</t>
  </si>
  <si>
    <t>ប្រាក់វិភាជន៍សង្គមផ្សេងៗទៀតសម្រាប់មន្ត្រីរាជការ និងបុគ្គលិកផ្សេងៗ</t>
  </si>
  <si>
    <t>ប្រាក់វិភាជន៍សង្គមសម្រាប់គ្រួសារមន្ត្រីរាជការ</t>
  </si>
  <si>
    <t>កូនមានអាយុចាប់ពី២០ឆ្នាំចុះ</t>
  </si>
  <si>
    <t>ប្រាក់បំណាច់អ្នកក្នុងបន្ទុក</t>
  </si>
  <si>
    <t>ឧបត្ថម្ភដល់កូនកំព្រារបស់មន្ដ្រីរាជការ</t>
  </si>
  <si>
    <t>ប្រាក់វិភាជន៍សង្គមផ្សេងៗទៀតសម្រាប់គ្រួសារ
មន្ត្រីរាជការ</t>
  </si>
  <si>
    <t>លាភការ និងប្រាក់បំណាច់នៃអំណាចរដ្ឋបាលថ្នាក់ក្រោមជាតិ</t>
  </si>
  <si>
    <t>ប្រាក់បំណាច់អភិបាល (រាជធានី-ខេត្ត 
ក្រុង-ស្រុក-ខណ្ឌ)</t>
  </si>
  <si>
    <t>ប្រាក់បំណាច់អភិបាលរង (រាជធានី-ខេត្ត 
ក្រុង-ស្រុក-ខណ្ឌ)</t>
  </si>
  <si>
    <t>ប្រាក់ឧបត្ថម្ភសមាជិកក្រុមប្រឹក្សា (រាជធានី-ខេត្ត ក្រុង-ស្រុក-ខណ្ឌ ឃុំ-សង្កាត់)</t>
  </si>
  <si>
    <t xml:space="preserve">ប្រាក់ឧបត្ថម្ភមន្រ្តីភូមិ </t>
  </si>
  <si>
    <t>ប្រាក់បំណាច់ផ្សេងៗទៀត</t>
  </si>
  <si>
    <t>បន្ទុកបុគ្គលិកផ្សេងៗទៀត</t>
  </si>
  <si>
    <t>ប្រាក់បំណាច់ ប្រធាន អនុប្រធាន និងសមាជិកស្ថាប័នកំពូល</t>
  </si>
  <si>
    <t>លាភការ និងប្រាក់បំណាច់នៃអំណាចសាធារណៈ</t>
  </si>
  <si>
    <t>បន្ទុកបុគ្គលិកសម្រាប់មន្ត្រីគាំទ្រអនុវិស័យ</t>
  </si>
  <si>
    <t>កម្មវិធីទី១</t>
  </si>
  <si>
    <t>កម្មវិធីទី៥</t>
  </si>
  <si>
    <t>វិភាជថវិកាបន្ទុកបុគ្គលិកសម្រាប់មន្ត្រីគាំទ្រអនុវិស័យតាមអនុវិស័យ</t>
  </si>
  <si>
    <t>សរុបវិភាជថវិកាបន្ទុកបុគ្គលិកតាមអនុវិស័យ</t>
  </si>
  <si>
    <t>វិភាជបន្ទុកបុគ្គលិកតាមកម្មវិធី</t>
  </si>
  <si>
    <r>
      <t>គម្រោងបន្ទុកបុគ្គលិកតាមអនុវិស័យ</t>
    </r>
    <r>
      <rPr>
        <sz val="14"/>
        <color rgb="FFC00000"/>
        <rFont val="Khmer OS Battambang"/>
      </rPr>
      <t>របស់មន្ទីរអប់រំ យុវជន និងកីឡា</t>
    </r>
  </si>
  <si>
    <t>ការិយាល័យអប់រំ យុវជន និងកីឡា..............................................................................................................</t>
  </si>
  <si>
    <r>
      <t>គម្រោងបន្ទុកបុគ្គលិកតាមអនុវិស័យ</t>
    </r>
    <r>
      <rPr>
        <sz val="12"/>
        <color rgb="FFC00000"/>
        <rFont val="Khmer OS Battambang"/>
      </rPr>
      <t>របស់ការិយាល័យអប់រំ យុវជន និងកីឡា</t>
    </r>
  </si>
  <si>
    <t>ការិយាល័យអប់រំ យុវជន និងកីឡាស្រុកថ្មបាំង</t>
  </si>
  <si>
    <t>ការិយាល័យអប់រំ យុវជន និងកីឡាស្រុកស្រែអំបិល</t>
  </si>
  <si>
    <t>ការិយាល័យអប់រំ យុវជន និងកីឡាស្រុកមណ្ឌលសីមា</t>
  </si>
  <si>
    <t>ការិយាល័យអប់រំ យុវជន និងកីឡាក្រុងខេមរភូមិន្ទ</t>
  </si>
  <si>
    <t>ការិយាល័យអប់រំ យុវជន និងកីឡាស្រុកកោះកុង</t>
  </si>
  <si>
    <t>ការិយាល័យអប់រំ យុវជន និងកីឡាស្រុកគិរីសាគរ</t>
  </si>
  <si>
    <t>ការិយាល័យអប់រំ យុវជន និងកីឡាស្រុកបូទុមសាគរ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</si>
</sst>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-* #,##0.0_-;\-* #,##0.0_-;_-* &quot;-&quot;??_-;_-@_-"/>
    <numFmt numFmtId="165" formatCode="[$-12000425]0"/>
    <numFmt numFmtId="166" formatCode="_(* #,##0.0_);_(* \(#,##0.0\);_(* &quot;-&quot;??_);_(@_)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Khmer OS Muol Light"/>
    </font>
    <font>
      <sz val="11"/>
      <color theme="1"/>
      <name val="Khmer OS Battambang"/>
    </font>
    <font>
      <sz val="11"/>
      <color theme="1"/>
      <name val="Khmer OS Muol Light"/>
    </font>
    <font>
      <b/>
      <sz val="11"/>
      <color theme="1"/>
      <name val="Khmer OS Battambang"/>
    </font>
    <font>
      <sz val="10"/>
      <name val="Arial"/>
      <family val="2"/>
    </font>
    <font>
      <b/>
      <sz val="11"/>
      <name val="Khmer OS Battambang"/>
    </font>
    <font>
      <b/>
      <sz val="11"/>
      <color theme="1"/>
      <name val="Arial Narrow"/>
      <family val="2"/>
    </font>
    <font>
      <sz val="11"/>
      <name val="Khmer OS Battambang"/>
    </font>
    <font>
      <sz val="11"/>
      <color theme="1"/>
      <name val="Arial Narrow"/>
      <family val="2"/>
    </font>
    <font>
      <sz val="14"/>
      <color rgb="FFC00000"/>
      <name val="Khmer OS Battambang"/>
    </font>
    <font>
      <sz val="12"/>
      <color theme="1"/>
      <name val="Khmer OS Battambang"/>
    </font>
    <font>
      <sz val="12"/>
      <color rgb="FFC00000"/>
      <name val="Khmer OS Battambang"/>
    </font>
    <font>
      <sz val="11"/>
      <color indexed="81"/>
      <name val="Khmer OS Battambang"/>
    </font>
    <font>
      <sz val="12"/>
      <color indexed="81"/>
      <name val="Khmer OS Battambang"/>
    </font>
    <font>
      <b/>
      <sz val="12"/>
      <color theme="1"/>
      <name val="Khmer OS Battambang"/>
    </font>
    <font>
      <sz val="9"/>
      <color theme="1"/>
      <name val="Khmer OS Battambang"/>
    </font>
    <font>
      <b/>
      <sz val="9"/>
      <color rgb="FF7030A0"/>
      <name val="Khmer OS Battambang"/>
    </font>
    <font>
      <sz val="9"/>
      <color theme="1"/>
      <name val="Khmer OS Muol Light"/>
    </font>
    <font>
      <b/>
      <sz val="9"/>
      <color theme="1"/>
      <name val="Khmer OS Muol Light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</fills>
  <borders count="7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medium">
        <color auto="1"/>
      </right>
      <top/>
      <bottom style="hair">
        <color indexed="64"/>
      </bottom>
      <diagonal/>
    </border>
    <border>
      <left style="medium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medium">
        <color auto="1"/>
      </right>
      <top style="hair">
        <color indexed="64"/>
      </top>
      <bottom style="hair">
        <color indexed="64"/>
      </bottom>
      <diagonal/>
    </border>
    <border>
      <left style="medium">
        <color auto="1"/>
      </left>
      <right style="hair">
        <color indexed="64"/>
      </right>
      <top/>
      <bottom style="hair">
        <color indexed="64"/>
      </bottom>
      <diagonal/>
    </border>
    <border>
      <left style="medium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auto="1"/>
      </left>
      <right style="hair">
        <color indexed="64"/>
      </right>
      <top style="hair">
        <color indexed="64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hair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indexed="64"/>
      </top>
      <bottom style="medium">
        <color auto="1"/>
      </bottom>
      <diagonal/>
    </border>
    <border>
      <left/>
      <right style="thin">
        <color indexed="64"/>
      </right>
      <top style="hair">
        <color indexed="64"/>
      </top>
      <bottom style="medium">
        <color auto="1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auto="1"/>
      </bottom>
      <diagonal/>
    </border>
    <border>
      <left style="thin">
        <color indexed="64"/>
      </left>
      <right style="thin">
        <color auto="1"/>
      </right>
      <top/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auto="1"/>
      </bottom>
      <diagonal/>
    </border>
    <border>
      <left style="slantDashDot">
        <color rgb="FFFF0000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hair">
        <color indexed="64"/>
      </bottom>
      <diagonal/>
    </border>
    <border>
      <left style="medium">
        <color auto="1"/>
      </left>
      <right/>
      <top style="hair">
        <color indexed="64"/>
      </top>
      <bottom style="hair">
        <color indexed="64"/>
      </bottom>
      <diagonal/>
    </border>
    <border>
      <left style="medium">
        <color auto="1"/>
      </left>
      <right/>
      <top style="hair">
        <color indexed="64"/>
      </top>
      <bottom style="medium">
        <color auto="1"/>
      </bottom>
      <diagonal/>
    </border>
    <border>
      <left style="slantDashDot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rgb="FFFF0000"/>
      </left>
      <right style="thin">
        <color indexed="64"/>
      </right>
      <top/>
      <bottom style="hair">
        <color indexed="64"/>
      </bottom>
      <diagonal/>
    </border>
    <border>
      <left style="slantDashDot">
        <color rgb="FFFF0000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slantDashDot">
        <color rgb="FFFF0000"/>
      </left>
      <right style="thin">
        <color indexed="64"/>
      </right>
      <top style="hair">
        <color indexed="64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hair">
        <color indexed="64"/>
      </bottom>
      <diagonal/>
    </border>
    <border>
      <left/>
      <right style="medium">
        <color auto="1"/>
      </right>
      <top style="hair">
        <color indexed="64"/>
      </top>
      <bottom style="hair">
        <color indexed="64"/>
      </bottom>
      <diagonal/>
    </border>
    <border>
      <left/>
      <right style="medium">
        <color auto="1"/>
      </right>
      <top style="hair">
        <color indexed="64"/>
      </top>
      <bottom style="medium">
        <color auto="1"/>
      </bottom>
      <diagonal/>
    </border>
    <border>
      <left style="thin">
        <color indexed="64"/>
      </left>
      <right style="slantDashDot">
        <color rgb="FFFF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slantDashDot">
        <color rgb="FFFF0000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slantDashDot">
        <color rgb="FFFF0000"/>
      </right>
      <top/>
      <bottom style="hair">
        <color indexed="64"/>
      </bottom>
      <diagonal/>
    </border>
    <border>
      <left style="thin">
        <color indexed="64"/>
      </left>
      <right style="slantDashDot">
        <color rgb="FFFF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slantDashDot">
        <color rgb="FFFF0000"/>
      </right>
      <top style="hair">
        <color indexed="64"/>
      </top>
      <bottom style="medium">
        <color auto="1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/>
    <xf numFmtId="0" fontId="6" fillId="0" borderId="0"/>
  </cellStyleXfs>
  <cellXfs count="185">
    <xf numFmtId="0" fontId="0" fillId="0" borderId="0" xfId="0"/>
    <xf numFmtId="0" fontId="2" fillId="0" borderId="0" xfId="0" applyFont="1" applyProtection="1">
      <protection locked="0"/>
    </xf>
    <xf numFmtId="0" fontId="3" fillId="0" borderId="0" xfId="0" applyFont="1" applyProtection="1">
      <protection locked="0"/>
    </xf>
    <xf numFmtId="0" fontId="3" fillId="0" borderId="0" xfId="0" applyFont="1"/>
    <xf numFmtId="0" fontId="4" fillId="0" borderId="0" xfId="0" applyFont="1"/>
    <xf numFmtId="0" fontId="4" fillId="0" borderId="0" xfId="0" applyFont="1" applyAlignment="1">
      <alignment horizontal="center" vertical="center"/>
    </xf>
    <xf numFmtId="0" fontId="3" fillId="3" borderId="3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164" fontId="5" fillId="4" borderId="3" xfId="1" applyNumberFormat="1" applyFont="1" applyFill="1" applyBorder="1" applyAlignment="1">
      <alignment horizontal="center" vertical="center" wrapText="1"/>
    </xf>
    <xf numFmtId="10" fontId="5" fillId="4" borderId="3" xfId="2" applyNumberFormat="1" applyFont="1" applyFill="1" applyBorder="1" applyAlignment="1">
      <alignment horizontal="right" vertical="center" wrapText="1"/>
    </xf>
    <xf numFmtId="0" fontId="5" fillId="0" borderId="0" xfId="0" applyFont="1" applyAlignment="1">
      <alignment horizontal="center" vertical="center"/>
    </xf>
    <xf numFmtId="164" fontId="5" fillId="5" borderId="3" xfId="1" applyNumberFormat="1" applyFont="1" applyFill="1" applyBorder="1" applyAlignment="1">
      <alignment horizontal="center" vertical="center" wrapText="1"/>
    </xf>
    <xf numFmtId="10" fontId="5" fillId="5" borderId="3" xfId="2" applyNumberFormat="1" applyFont="1" applyFill="1" applyBorder="1" applyAlignment="1">
      <alignment horizontal="right" vertical="center" wrapText="1"/>
    </xf>
    <xf numFmtId="165" fontId="3" fillId="6" borderId="3" xfId="0" applyNumberFormat="1" applyFont="1" applyFill="1" applyBorder="1" applyAlignment="1">
      <alignment wrapText="1"/>
    </xf>
    <xf numFmtId="0" fontId="3" fillId="6" borderId="3" xfId="0" applyFont="1" applyFill="1" applyBorder="1" applyAlignment="1">
      <alignment wrapText="1"/>
    </xf>
    <xf numFmtId="164" fontId="3" fillId="6" borderId="3" xfId="1" applyNumberFormat="1" applyFont="1" applyFill="1" applyBorder="1" applyAlignment="1">
      <alignment horizontal="right" vertical="center"/>
    </xf>
    <xf numFmtId="10" fontId="3" fillId="6" borderId="3" xfId="2" applyNumberFormat="1" applyFont="1" applyFill="1" applyBorder="1" applyAlignment="1">
      <alignment horizontal="right" vertical="center"/>
    </xf>
    <xf numFmtId="164" fontId="5" fillId="5" borderId="3" xfId="1" applyNumberFormat="1" applyFont="1" applyFill="1" applyBorder="1" applyAlignment="1">
      <alignment horizontal="right" vertical="center"/>
    </xf>
    <xf numFmtId="10" fontId="5" fillId="5" borderId="3" xfId="2" applyNumberFormat="1" applyFont="1" applyFill="1" applyBorder="1" applyAlignment="1">
      <alignment horizontal="right" vertical="center"/>
    </xf>
    <xf numFmtId="0" fontId="5" fillId="0" borderId="0" xfId="0" applyFont="1"/>
    <xf numFmtId="0" fontId="4" fillId="0" borderId="0" xfId="0" applyFont="1" applyProtection="1">
      <protection locked="0"/>
    </xf>
    <xf numFmtId="0" fontId="7" fillId="0" borderId="9" xfId="3" applyFont="1" applyBorder="1" applyAlignment="1">
      <alignment vertical="center" wrapText="1"/>
    </xf>
    <xf numFmtId="166" fontId="8" fillId="0" borderId="10" xfId="1" applyNumberFormat="1" applyFont="1" applyFill="1" applyBorder="1" applyAlignment="1" applyProtection="1">
      <alignment horizontal="right" vertical="center"/>
    </xf>
    <xf numFmtId="0" fontId="7" fillId="0" borderId="8" xfId="3" applyFont="1" applyBorder="1" applyAlignment="1">
      <alignment horizontal="center" vertical="center"/>
    </xf>
    <xf numFmtId="0" fontId="9" fillId="0" borderId="8" xfId="3" applyFont="1" applyBorder="1" applyAlignment="1">
      <alignment horizontal="center" vertical="center"/>
    </xf>
    <xf numFmtId="0" fontId="9" fillId="0" borderId="9" xfId="3" applyFont="1" applyBorder="1" applyAlignment="1">
      <alignment vertical="center" wrapText="1"/>
    </xf>
    <xf numFmtId="166" fontId="10" fillId="0" borderId="10" xfId="1" applyNumberFormat="1" applyFont="1" applyFill="1" applyBorder="1" applyAlignment="1" applyProtection="1">
      <alignment horizontal="right" vertical="center"/>
    </xf>
    <xf numFmtId="166" fontId="10" fillId="0" borderId="10" xfId="1" applyNumberFormat="1" applyFont="1" applyFill="1" applyBorder="1" applyAlignment="1" applyProtection="1">
      <alignment horizontal="right" vertical="center"/>
      <protection locked="0"/>
    </xf>
    <xf numFmtId="0" fontId="7" fillId="0" borderId="8" xfId="4" applyFont="1" applyBorder="1" applyAlignment="1">
      <alignment horizontal="center" vertical="center"/>
    </xf>
    <xf numFmtId="0" fontId="7" fillId="0" borderId="9" xfId="4" applyFont="1" applyBorder="1" applyAlignment="1">
      <alignment vertical="center" wrapText="1"/>
    </xf>
    <xf numFmtId="0" fontId="9" fillId="0" borderId="8" xfId="4" applyFont="1" applyBorder="1" applyAlignment="1">
      <alignment horizontal="center" vertical="center"/>
    </xf>
    <xf numFmtId="0" fontId="9" fillId="0" borderId="9" xfId="4" applyFont="1" applyBorder="1" applyAlignment="1">
      <alignment vertical="center" wrapText="1"/>
    </xf>
    <xf numFmtId="0" fontId="7" fillId="0" borderId="11" xfId="3" applyFont="1" applyBorder="1" applyAlignment="1">
      <alignment vertical="center"/>
    </xf>
    <xf numFmtId="0" fontId="7" fillId="0" borderId="12" xfId="3" applyFont="1" applyBorder="1" applyAlignment="1">
      <alignment vertical="center" wrapText="1"/>
    </xf>
    <xf numFmtId="166" fontId="8" fillId="0" borderId="13" xfId="1" applyNumberFormat="1" applyFont="1" applyFill="1" applyBorder="1" applyAlignment="1" applyProtection="1">
      <alignment horizontal="right" vertical="center"/>
    </xf>
    <xf numFmtId="166" fontId="8" fillId="0" borderId="24" xfId="1" applyNumberFormat="1" applyFont="1" applyFill="1" applyBorder="1" applyAlignment="1" applyProtection="1">
      <alignment horizontal="right" vertical="center"/>
    </xf>
    <xf numFmtId="166" fontId="8" fillId="0" borderId="25" xfId="1" applyNumberFormat="1" applyFont="1" applyFill="1" applyBorder="1" applyAlignment="1" applyProtection="1">
      <alignment horizontal="right" vertical="center"/>
    </xf>
    <xf numFmtId="166" fontId="8" fillId="0" borderId="26" xfId="1" applyNumberFormat="1" applyFont="1" applyFill="1" applyBorder="1" applyAlignment="1" applyProtection="1">
      <alignment horizontal="right" vertical="center"/>
    </xf>
    <xf numFmtId="166" fontId="8" fillId="0" borderId="27" xfId="1" applyNumberFormat="1" applyFont="1" applyFill="1" applyBorder="1" applyAlignment="1" applyProtection="1">
      <alignment horizontal="right" vertical="center"/>
    </xf>
    <xf numFmtId="166" fontId="8" fillId="0" borderId="28" xfId="1" applyNumberFormat="1" applyFont="1" applyFill="1" applyBorder="1" applyAlignment="1" applyProtection="1">
      <alignment horizontal="right" vertical="center"/>
    </xf>
    <xf numFmtId="166" fontId="8" fillId="0" borderId="29" xfId="1" applyNumberFormat="1" applyFont="1" applyFill="1" applyBorder="1" applyAlignment="1" applyProtection="1">
      <alignment horizontal="right" vertical="center"/>
    </xf>
    <xf numFmtId="166" fontId="10" fillId="0" borderId="28" xfId="1" applyNumberFormat="1" applyFont="1" applyFill="1" applyBorder="1" applyAlignment="1" applyProtection="1">
      <alignment horizontal="right" vertical="center"/>
    </xf>
    <xf numFmtId="166" fontId="10" fillId="0" borderId="29" xfId="1" applyNumberFormat="1" applyFont="1" applyFill="1" applyBorder="1" applyAlignment="1" applyProtection="1">
      <alignment horizontal="right" vertical="center"/>
    </xf>
    <xf numFmtId="166" fontId="10" fillId="0" borderId="28" xfId="1" applyNumberFormat="1" applyFont="1" applyFill="1" applyBorder="1" applyAlignment="1" applyProtection="1">
      <alignment horizontal="right" vertical="center"/>
      <protection locked="0"/>
    </xf>
    <xf numFmtId="166" fontId="10" fillId="0" borderId="29" xfId="1" applyNumberFormat="1" applyFont="1" applyFill="1" applyBorder="1" applyAlignment="1" applyProtection="1">
      <alignment horizontal="right" vertical="center"/>
      <protection locked="0"/>
    </xf>
    <xf numFmtId="0" fontId="3" fillId="7" borderId="17" xfId="0" applyFont="1" applyFill="1" applyBorder="1" applyAlignment="1">
      <alignment wrapText="1"/>
    </xf>
    <xf numFmtId="0" fontId="3" fillId="7" borderId="3" xfId="0" applyFont="1" applyFill="1" applyBorder="1" applyAlignment="1">
      <alignment wrapText="1"/>
    </xf>
    <xf numFmtId="0" fontId="3" fillId="7" borderId="18" xfId="0" applyFont="1" applyFill="1" applyBorder="1" applyAlignment="1">
      <alignment wrapText="1"/>
    </xf>
    <xf numFmtId="164" fontId="3" fillId="6" borderId="3" xfId="1" applyNumberFormat="1" applyFont="1" applyFill="1" applyBorder="1" applyAlignment="1" applyProtection="1">
      <alignment horizontal="right" vertical="center"/>
      <protection locked="0"/>
    </xf>
    <xf numFmtId="166" fontId="10" fillId="0" borderId="25" xfId="1" applyNumberFormat="1" applyFont="1" applyFill="1" applyBorder="1" applyAlignment="1" applyProtection="1">
      <alignment horizontal="right" vertical="center"/>
    </xf>
    <xf numFmtId="0" fontId="7" fillId="0" borderId="30" xfId="3" applyFont="1" applyBorder="1" applyAlignment="1">
      <alignment horizontal="center" vertical="center"/>
    </xf>
    <xf numFmtId="0" fontId="7" fillId="0" borderId="31" xfId="3" applyFont="1" applyBorder="1" applyAlignment="1">
      <alignment horizontal="center" vertical="center"/>
    </xf>
    <xf numFmtId="0" fontId="9" fillId="0" borderId="31" xfId="3" applyFont="1" applyBorder="1" applyAlignment="1">
      <alignment horizontal="center" vertical="center"/>
    </xf>
    <xf numFmtId="0" fontId="9" fillId="0" borderId="31" xfId="3" applyFont="1" applyBorder="1" applyAlignment="1">
      <alignment horizontal="left" vertical="center"/>
    </xf>
    <xf numFmtId="0" fontId="7" fillId="0" borderId="31" xfId="3" applyFont="1" applyBorder="1" applyAlignment="1">
      <alignment horizontal="center" vertical="center" textRotation="180"/>
    </xf>
    <xf numFmtId="0" fontId="9" fillId="0" borderId="31" xfId="3" applyFont="1" applyBorder="1" applyAlignment="1">
      <alignment horizontal="center" vertical="center" textRotation="180"/>
    </xf>
    <xf numFmtId="0" fontId="9" fillId="0" borderId="32" xfId="3" applyFont="1" applyBorder="1" applyAlignment="1">
      <alignment horizontal="center" vertical="center"/>
    </xf>
    <xf numFmtId="0" fontId="7" fillId="0" borderId="33" xfId="4" applyFont="1" applyBorder="1" applyAlignment="1">
      <alignment horizontal="center" vertical="center"/>
    </xf>
    <xf numFmtId="0" fontId="9" fillId="0" borderId="33" xfId="4" applyFont="1" applyBorder="1" applyAlignment="1">
      <alignment horizontal="center" vertical="center"/>
    </xf>
    <xf numFmtId="0" fontId="9" fillId="0" borderId="34" xfId="4" applyFont="1" applyBorder="1" applyAlignment="1">
      <alignment vertical="center" wrapText="1"/>
    </xf>
    <xf numFmtId="166" fontId="10" fillId="0" borderId="35" xfId="1" applyNumberFormat="1" applyFont="1" applyFill="1" applyBorder="1" applyAlignment="1" applyProtection="1">
      <alignment horizontal="right" vertical="center"/>
    </xf>
    <xf numFmtId="166" fontId="10" fillId="0" borderId="36" xfId="1" applyNumberFormat="1" applyFont="1" applyFill="1" applyBorder="1" applyAlignment="1" applyProtection="1">
      <alignment horizontal="right" vertical="center"/>
    </xf>
    <xf numFmtId="166" fontId="10" fillId="0" borderId="37" xfId="1" applyNumberFormat="1" applyFont="1" applyFill="1" applyBorder="1" applyAlignment="1" applyProtection="1">
      <alignment horizontal="right" vertical="center"/>
    </xf>
    <xf numFmtId="166" fontId="10" fillId="0" borderId="38" xfId="1" applyNumberFormat="1" applyFont="1" applyFill="1" applyBorder="1" applyAlignment="1" applyProtection="1">
      <alignment horizontal="right" vertical="center"/>
    </xf>
    <xf numFmtId="166" fontId="8" fillId="0" borderId="39" xfId="1" applyNumberFormat="1" applyFont="1" applyFill="1" applyBorder="1" applyAlignment="1" applyProtection="1">
      <alignment horizontal="right" vertical="center"/>
    </xf>
    <xf numFmtId="166" fontId="8" fillId="0" borderId="40" xfId="1" applyNumberFormat="1" applyFont="1" applyFill="1" applyBorder="1" applyAlignment="1" applyProtection="1">
      <alignment horizontal="right" vertical="center"/>
    </xf>
    <xf numFmtId="166" fontId="10" fillId="0" borderId="40" xfId="1" applyNumberFormat="1" applyFont="1" applyFill="1" applyBorder="1" applyAlignment="1" applyProtection="1">
      <alignment horizontal="right" vertical="center"/>
    </xf>
    <xf numFmtId="166" fontId="10" fillId="0" borderId="41" xfId="1" applyNumberFormat="1" applyFont="1" applyFill="1" applyBorder="1" applyAlignment="1" applyProtection="1">
      <alignment horizontal="right" vertical="center"/>
    </xf>
    <xf numFmtId="166" fontId="10" fillId="0" borderId="35" xfId="1" applyNumberFormat="1" applyFont="1" applyFill="1" applyBorder="1" applyAlignment="1" applyProtection="1">
      <alignment horizontal="right" vertical="center"/>
      <protection locked="0"/>
    </xf>
    <xf numFmtId="166" fontId="10" fillId="0" borderId="36" xfId="1" applyNumberFormat="1" applyFont="1" applyFill="1" applyBorder="1" applyAlignment="1" applyProtection="1">
      <alignment horizontal="right" vertical="center"/>
      <protection locked="0"/>
    </xf>
    <xf numFmtId="166" fontId="10" fillId="0" borderId="37" xfId="1" applyNumberFormat="1" applyFont="1" applyFill="1" applyBorder="1" applyAlignment="1" applyProtection="1">
      <alignment horizontal="right" vertical="center"/>
      <protection locked="0"/>
    </xf>
    <xf numFmtId="0" fontId="5" fillId="0" borderId="22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 textRotation="90" wrapText="1"/>
    </xf>
    <xf numFmtId="0" fontId="3" fillId="3" borderId="3" xfId="0" applyFont="1" applyFill="1" applyBorder="1" applyAlignment="1">
      <alignment horizontal="center" vertical="center" textRotation="90" wrapText="1"/>
    </xf>
    <xf numFmtId="0" fontId="3" fillId="5" borderId="3" xfId="0" applyFont="1" applyFill="1" applyBorder="1" applyAlignment="1">
      <alignment horizontal="center" vertical="center" textRotation="90" wrapText="1"/>
    </xf>
    <xf numFmtId="0" fontId="3" fillId="3" borderId="7" xfId="0" applyFont="1" applyFill="1" applyBorder="1" applyAlignment="1">
      <alignment horizontal="center" vertical="center" textRotation="90" wrapText="1"/>
    </xf>
    <xf numFmtId="0" fontId="3" fillId="7" borderId="17" xfId="0" applyFont="1" applyFill="1" applyBorder="1" applyAlignment="1">
      <alignment horizontal="center" vertical="center" textRotation="90" wrapText="1"/>
    </xf>
    <xf numFmtId="0" fontId="3" fillId="7" borderId="18" xfId="0" applyFont="1" applyFill="1" applyBorder="1" applyAlignment="1">
      <alignment horizontal="center" vertical="center" textRotation="90" wrapText="1"/>
    </xf>
    <xf numFmtId="0" fontId="3" fillId="3" borderId="6" xfId="0" applyFont="1" applyFill="1" applyBorder="1" applyAlignment="1">
      <alignment horizontal="center" vertical="center" textRotation="90" wrapText="1"/>
    </xf>
    <xf numFmtId="0" fontId="3" fillId="5" borderId="17" xfId="0" applyFont="1" applyFill="1" applyBorder="1" applyAlignment="1">
      <alignment horizontal="center" vertical="center" textRotation="90" wrapText="1"/>
    </xf>
    <xf numFmtId="0" fontId="3" fillId="5" borderId="18" xfId="0" applyFont="1" applyFill="1" applyBorder="1" applyAlignment="1">
      <alignment horizontal="center" vertical="center" textRotation="90" wrapText="1"/>
    </xf>
    <xf numFmtId="166" fontId="8" fillId="0" borderId="54" xfId="1" applyNumberFormat="1" applyFont="1" applyFill="1" applyBorder="1" applyAlignment="1" applyProtection="1">
      <alignment horizontal="right" vertical="center"/>
    </xf>
    <xf numFmtId="166" fontId="8" fillId="0" borderId="55" xfId="1" applyNumberFormat="1" applyFont="1" applyFill="1" applyBorder="1" applyAlignment="1" applyProtection="1">
      <alignment horizontal="right" vertical="center"/>
    </xf>
    <xf numFmtId="166" fontId="10" fillId="0" borderId="56" xfId="1" applyNumberFormat="1" applyFont="1" applyFill="1" applyBorder="1" applyAlignment="1" applyProtection="1">
      <alignment horizontal="right" vertical="center"/>
    </xf>
    <xf numFmtId="166" fontId="8" fillId="0" borderId="58" xfId="1" applyNumberFormat="1" applyFont="1" applyFill="1" applyBorder="1" applyAlignment="1" applyProtection="1">
      <alignment horizontal="right" vertical="center"/>
    </xf>
    <xf numFmtId="166" fontId="8" fillId="0" borderId="59" xfId="1" applyNumberFormat="1" applyFont="1" applyFill="1" applyBorder="1" applyAlignment="1" applyProtection="1">
      <alignment horizontal="right" vertical="center"/>
    </xf>
    <xf numFmtId="166" fontId="10" fillId="0" borderId="60" xfId="1" applyNumberFormat="1" applyFont="1" applyFill="1" applyBorder="1" applyAlignment="1" applyProtection="1">
      <alignment horizontal="right" vertical="center"/>
    </xf>
    <xf numFmtId="166" fontId="8" fillId="0" borderId="63" xfId="1" applyNumberFormat="1" applyFont="1" applyFill="1" applyBorder="1" applyAlignment="1" applyProtection="1">
      <alignment horizontal="right" vertical="center"/>
    </xf>
    <xf numFmtId="166" fontId="8" fillId="0" borderId="64" xfId="1" applyNumberFormat="1" applyFont="1" applyFill="1" applyBorder="1" applyAlignment="1" applyProtection="1">
      <alignment horizontal="right" vertical="center"/>
    </xf>
    <xf numFmtId="166" fontId="10" fillId="0" borderId="64" xfId="1" applyNumberFormat="1" applyFont="1" applyFill="1" applyBorder="1" applyAlignment="1" applyProtection="1">
      <alignment horizontal="right" vertical="center"/>
    </xf>
    <xf numFmtId="166" fontId="10" fillId="0" borderId="65" xfId="1" applyNumberFormat="1" applyFont="1" applyFill="1" applyBorder="1" applyAlignment="1" applyProtection="1">
      <alignment horizontal="right" vertical="center"/>
    </xf>
    <xf numFmtId="166" fontId="8" fillId="0" borderId="68" xfId="1" applyNumberFormat="1" applyFont="1" applyFill="1" applyBorder="1" applyAlignment="1" applyProtection="1">
      <alignment horizontal="right" vertical="center"/>
    </xf>
    <xf numFmtId="166" fontId="8" fillId="0" borderId="69" xfId="1" applyNumberFormat="1" applyFont="1" applyFill="1" applyBorder="1" applyAlignment="1" applyProtection="1">
      <alignment horizontal="right" vertical="center"/>
    </xf>
    <xf numFmtId="166" fontId="10" fillId="0" borderId="69" xfId="1" applyNumberFormat="1" applyFont="1" applyFill="1" applyBorder="1" applyAlignment="1" applyProtection="1">
      <alignment horizontal="right" vertical="center"/>
    </xf>
    <xf numFmtId="166" fontId="10" fillId="0" borderId="70" xfId="1" applyNumberFormat="1" applyFont="1" applyFill="1" applyBorder="1" applyAlignment="1" applyProtection="1">
      <alignment horizontal="right" vertical="center"/>
    </xf>
    <xf numFmtId="166" fontId="10" fillId="0" borderId="55" xfId="1" applyNumberFormat="1" applyFont="1" applyFill="1" applyBorder="1" applyAlignment="1" applyProtection="1">
      <alignment horizontal="right" vertical="center"/>
    </xf>
    <xf numFmtId="166" fontId="10" fillId="0" borderId="59" xfId="1" applyNumberFormat="1" applyFont="1" applyFill="1" applyBorder="1" applyAlignment="1" applyProtection="1">
      <alignment horizontal="right" vertical="center"/>
    </xf>
    <xf numFmtId="164" fontId="3" fillId="6" borderId="3" xfId="1" applyNumberFormat="1" applyFont="1" applyFill="1" applyBorder="1" applyAlignment="1" applyProtection="1">
      <alignment horizontal="right" vertical="center"/>
    </xf>
    <xf numFmtId="164" fontId="5" fillId="5" borderId="3" xfId="1" applyNumberFormat="1" applyFont="1" applyFill="1" applyBorder="1" applyAlignment="1" applyProtection="1">
      <alignment horizontal="right"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5" fillId="4" borderId="6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left" vertical="center" wrapText="1"/>
    </xf>
    <xf numFmtId="0" fontId="5" fillId="5" borderId="7" xfId="0" applyFont="1" applyFill="1" applyBorder="1" applyAlignment="1">
      <alignment horizontal="left" vertical="center" wrapText="1"/>
    </xf>
    <xf numFmtId="0" fontId="3" fillId="0" borderId="0" xfId="0" applyFont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3" fillId="2" borderId="1" xfId="0" applyFont="1" applyFill="1" applyBorder="1" applyAlignment="1">
      <alignment horizontal="right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16" fillId="8" borderId="14" xfId="0" applyFont="1" applyFill="1" applyBorder="1" applyAlignment="1">
      <alignment horizontal="center" vertical="center" wrapText="1"/>
    </xf>
    <xf numFmtId="0" fontId="16" fillId="8" borderId="15" xfId="0" applyFont="1" applyFill="1" applyBorder="1" applyAlignment="1">
      <alignment horizontal="center" vertical="center" wrapText="1"/>
    </xf>
    <xf numFmtId="0" fontId="16" fillId="8" borderId="16" xfId="0" applyFont="1" applyFill="1" applyBorder="1" applyAlignment="1">
      <alignment horizontal="center" vertical="center" wrapText="1"/>
    </xf>
    <xf numFmtId="0" fontId="16" fillId="8" borderId="17" xfId="0" applyFont="1" applyFill="1" applyBorder="1" applyAlignment="1">
      <alignment horizontal="center" vertical="center" wrapText="1"/>
    </xf>
    <xf numFmtId="0" fontId="16" fillId="8" borderId="3" xfId="0" applyFont="1" applyFill="1" applyBorder="1" applyAlignment="1">
      <alignment horizontal="center" vertical="center" wrapText="1"/>
    </xf>
    <xf numFmtId="0" fontId="16" fillId="8" borderId="18" xfId="0" applyFont="1" applyFill="1" applyBorder="1" applyAlignment="1">
      <alignment horizontal="center" vertical="center" wrapText="1"/>
    </xf>
    <xf numFmtId="0" fontId="5" fillId="0" borderId="2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3" fillId="7" borderId="14" xfId="0" applyFont="1" applyFill="1" applyBorder="1" applyAlignment="1">
      <alignment horizontal="center" vertical="center" wrapText="1"/>
    </xf>
    <xf numFmtId="0" fontId="3" fillId="7" borderId="15" xfId="0" applyFont="1" applyFill="1" applyBorder="1" applyAlignment="1">
      <alignment horizontal="center" vertical="center" wrapText="1"/>
    </xf>
    <xf numFmtId="0" fontId="3" fillId="7" borderId="16" xfId="0" applyFont="1" applyFill="1" applyBorder="1" applyAlignment="1">
      <alignment horizontal="center" vertical="center" wrapText="1"/>
    </xf>
    <xf numFmtId="0" fontId="16" fillId="3" borderId="23" xfId="0" applyFont="1" applyFill="1" applyBorder="1" applyAlignment="1">
      <alignment horizontal="center" vertical="center" wrapText="1"/>
    </xf>
    <xf numFmtId="0" fontId="16" fillId="3" borderId="15" xfId="0" applyFont="1" applyFill="1" applyBorder="1" applyAlignment="1">
      <alignment horizontal="center" vertical="center" wrapText="1"/>
    </xf>
    <xf numFmtId="0" fontId="16" fillId="3" borderId="21" xfId="0" applyFont="1" applyFill="1" applyBorder="1" applyAlignment="1">
      <alignment horizontal="center" vertical="center" wrapText="1"/>
    </xf>
    <xf numFmtId="0" fontId="16" fillId="3" borderId="7" xfId="0" applyFont="1" applyFill="1" applyBorder="1" applyAlignment="1">
      <alignment horizontal="center" vertical="center" wrapText="1"/>
    </xf>
    <xf numFmtId="0" fontId="16" fillId="3" borderId="3" xfId="0" applyFont="1" applyFill="1" applyBorder="1" applyAlignment="1">
      <alignment horizontal="center" vertical="center" wrapText="1"/>
    </xf>
    <xf numFmtId="0" fontId="16" fillId="3" borderId="6" xfId="0" applyFont="1" applyFill="1" applyBorder="1" applyAlignment="1">
      <alignment horizontal="center" vertical="center" wrapText="1"/>
    </xf>
    <xf numFmtId="0" fontId="12" fillId="5" borderId="14" xfId="0" applyFont="1" applyFill="1" applyBorder="1" applyAlignment="1">
      <alignment horizontal="center" vertical="center" wrapText="1"/>
    </xf>
    <xf numFmtId="0" fontId="12" fillId="5" borderId="15" xfId="0" applyFont="1" applyFill="1" applyBorder="1" applyAlignment="1">
      <alignment horizontal="center" vertical="center" wrapText="1"/>
    </xf>
    <xf numFmtId="0" fontId="12" fillId="5" borderId="16" xfId="0" applyFont="1" applyFill="1" applyBorder="1" applyAlignment="1">
      <alignment horizontal="center" vertical="center" wrapText="1"/>
    </xf>
    <xf numFmtId="0" fontId="12" fillId="5" borderId="17" xfId="0" applyFont="1" applyFill="1" applyBorder="1" applyAlignment="1">
      <alignment horizontal="center" vertical="center" wrapText="1"/>
    </xf>
    <xf numFmtId="0" fontId="12" fillId="5" borderId="3" xfId="0" applyFont="1" applyFill="1" applyBorder="1" applyAlignment="1">
      <alignment horizontal="center" vertical="center" wrapText="1"/>
    </xf>
    <xf numFmtId="0" fontId="12" fillId="5" borderId="18" xfId="0" applyFont="1" applyFill="1" applyBorder="1" applyAlignment="1">
      <alignment horizontal="center" vertical="center" wrapText="1"/>
    </xf>
    <xf numFmtId="0" fontId="12" fillId="3" borderId="23" xfId="0" applyFont="1" applyFill="1" applyBorder="1" applyAlignment="1">
      <alignment horizontal="center" vertical="center" wrapText="1"/>
    </xf>
    <xf numFmtId="0" fontId="12" fillId="3" borderId="15" xfId="0" applyFont="1" applyFill="1" applyBorder="1" applyAlignment="1">
      <alignment horizontal="center" vertical="center" wrapText="1"/>
    </xf>
    <xf numFmtId="0" fontId="12" fillId="3" borderId="21" xfId="0" applyFont="1" applyFill="1" applyBorder="1" applyAlignment="1">
      <alignment horizontal="center" vertical="center" wrapText="1"/>
    </xf>
    <xf numFmtId="0" fontId="12" fillId="3" borderId="7" xfId="0" applyFont="1" applyFill="1" applyBorder="1" applyAlignment="1">
      <alignment horizontal="center" vertical="center" wrapText="1"/>
    </xf>
    <xf numFmtId="0" fontId="12" fillId="3" borderId="3" xfId="0" applyFont="1" applyFill="1" applyBorder="1" applyAlignment="1">
      <alignment horizontal="center" vertical="center" wrapText="1"/>
    </xf>
    <xf numFmtId="0" fontId="12" fillId="3" borderId="6" xfId="0" applyFont="1" applyFill="1" applyBorder="1" applyAlignment="1">
      <alignment horizontal="center" vertical="center" wrapText="1"/>
    </xf>
    <xf numFmtId="0" fontId="17" fillId="7" borderId="17" xfId="0" applyFont="1" applyFill="1" applyBorder="1" applyAlignment="1">
      <alignment horizontal="center" vertical="center" textRotation="90" wrapText="1"/>
    </xf>
    <xf numFmtId="0" fontId="17" fillId="7" borderId="3" xfId="0" applyFont="1" applyFill="1" applyBorder="1" applyAlignment="1">
      <alignment horizontal="center" vertical="center" textRotation="90" wrapText="1"/>
    </xf>
    <xf numFmtId="0" fontId="17" fillId="7" borderId="18" xfId="0" applyFont="1" applyFill="1" applyBorder="1" applyAlignment="1">
      <alignment horizontal="center" vertical="center" textRotation="90" wrapText="1"/>
    </xf>
    <xf numFmtId="0" fontId="17" fillId="3" borderId="7" xfId="0" applyFont="1" applyFill="1" applyBorder="1" applyAlignment="1">
      <alignment horizontal="center" vertical="center" textRotation="90" wrapText="1"/>
    </xf>
    <xf numFmtId="0" fontId="17" fillId="3" borderId="3" xfId="0" applyFont="1" applyFill="1" applyBorder="1" applyAlignment="1">
      <alignment horizontal="center" vertical="center" textRotation="90" wrapText="1"/>
    </xf>
    <xf numFmtId="0" fontId="17" fillId="3" borderId="6" xfId="0" applyFont="1" applyFill="1" applyBorder="1" applyAlignment="1">
      <alignment horizontal="center" vertical="center" textRotation="90" wrapText="1"/>
    </xf>
    <xf numFmtId="0" fontId="17" fillId="5" borderId="17" xfId="0" applyFont="1" applyFill="1" applyBorder="1" applyAlignment="1">
      <alignment horizontal="center" vertical="center" textRotation="90" wrapText="1"/>
    </xf>
    <xf numFmtId="0" fontId="17" fillId="5" borderId="3" xfId="0" applyFont="1" applyFill="1" applyBorder="1" applyAlignment="1">
      <alignment horizontal="center" vertical="center" textRotation="90" wrapText="1"/>
    </xf>
    <xf numFmtId="0" fontId="17" fillId="5" borderId="18" xfId="0" applyFont="1" applyFill="1" applyBorder="1" applyAlignment="1">
      <alignment horizontal="center" vertical="center" textRotation="90" wrapText="1"/>
    </xf>
    <xf numFmtId="0" fontId="17" fillId="7" borderId="45" xfId="0" applyFont="1" applyFill="1" applyBorder="1" applyAlignment="1">
      <alignment horizontal="center" vertical="center" textRotation="90" wrapText="1"/>
    </xf>
    <xf numFmtId="0" fontId="17" fillId="7" borderId="2" xfId="0" applyFont="1" applyFill="1" applyBorder="1" applyAlignment="1">
      <alignment horizontal="center" vertical="center" textRotation="90" wrapText="1"/>
    </xf>
    <xf numFmtId="0" fontId="17" fillId="7" borderId="46" xfId="0" applyFont="1" applyFill="1" applyBorder="1" applyAlignment="1">
      <alignment horizontal="center" vertical="center" textRotation="90" wrapText="1"/>
    </xf>
    <xf numFmtId="0" fontId="17" fillId="3" borderId="43" xfId="0" applyFont="1" applyFill="1" applyBorder="1" applyAlignment="1">
      <alignment horizontal="center" vertical="center" textRotation="90" wrapText="1"/>
    </xf>
    <xf numFmtId="0" fontId="17" fillId="3" borderId="2" xfId="0" applyFont="1" applyFill="1" applyBorder="1" applyAlignment="1">
      <alignment horizontal="center" vertical="center" textRotation="90" wrapText="1"/>
    </xf>
    <xf numFmtId="0" fontId="17" fillId="3" borderId="49" xfId="0" applyFont="1" applyFill="1" applyBorder="1" applyAlignment="1">
      <alignment horizontal="center" vertical="center" textRotation="90" wrapText="1"/>
    </xf>
    <xf numFmtId="0" fontId="18" fillId="8" borderId="52" xfId="0" applyFont="1" applyFill="1" applyBorder="1" applyAlignment="1">
      <alignment horizontal="center" vertical="center" wrapText="1"/>
    </xf>
    <xf numFmtId="0" fontId="18" fillId="8" borderId="57" xfId="0" applyFont="1" applyFill="1" applyBorder="1" applyAlignment="1">
      <alignment horizontal="center" vertical="center" textRotation="91"/>
    </xf>
    <xf numFmtId="0" fontId="18" fillId="8" borderId="3" xfId="0" applyFont="1" applyFill="1" applyBorder="1" applyAlignment="1">
      <alignment horizontal="center" vertical="center" textRotation="91"/>
    </xf>
    <xf numFmtId="0" fontId="18" fillId="8" borderId="66" xfId="0" applyFont="1" applyFill="1" applyBorder="1" applyAlignment="1">
      <alignment horizontal="center" vertical="center" textRotation="91"/>
    </xf>
    <xf numFmtId="0" fontId="17" fillId="8" borderId="61" xfId="0" applyFont="1" applyFill="1" applyBorder="1" applyAlignment="1">
      <alignment horizontal="center" vertical="center" textRotation="90" wrapText="1"/>
    </xf>
    <xf numFmtId="0" fontId="17" fillId="7" borderId="47" xfId="0" applyFont="1" applyFill="1" applyBorder="1" applyAlignment="1">
      <alignment horizontal="center" vertical="center" textRotation="90" wrapText="1"/>
    </xf>
    <xf numFmtId="0" fontId="17" fillId="7" borderId="42" xfId="0" applyFont="1" applyFill="1" applyBorder="1" applyAlignment="1">
      <alignment horizontal="center" vertical="center" textRotation="90" wrapText="1"/>
    </xf>
    <xf numFmtId="0" fontId="17" fillId="7" borderId="48" xfId="0" applyFont="1" applyFill="1" applyBorder="1" applyAlignment="1">
      <alignment horizontal="center" vertical="center" textRotation="90" wrapText="1"/>
    </xf>
    <xf numFmtId="0" fontId="17" fillId="3" borderId="44" xfId="0" applyFont="1" applyFill="1" applyBorder="1" applyAlignment="1">
      <alignment horizontal="center" vertical="center" textRotation="90" wrapText="1"/>
    </xf>
    <xf numFmtId="0" fontId="17" fillId="3" borderId="42" xfId="0" applyFont="1" applyFill="1" applyBorder="1" applyAlignment="1">
      <alignment horizontal="center" vertical="center" textRotation="90" wrapText="1"/>
    </xf>
    <xf numFmtId="0" fontId="17" fillId="3" borderId="50" xfId="0" applyFont="1" applyFill="1" applyBorder="1" applyAlignment="1">
      <alignment horizontal="center" vertical="center" textRotation="90" wrapText="1"/>
    </xf>
    <xf numFmtId="0" fontId="17" fillId="8" borderId="53" xfId="0" applyFont="1" applyFill="1" applyBorder="1" applyAlignment="1">
      <alignment horizontal="center" vertical="center" textRotation="90" wrapText="1"/>
    </xf>
    <xf numFmtId="0" fontId="17" fillId="8" borderId="51" xfId="0" applyFont="1" applyFill="1" applyBorder="1" applyAlignment="1">
      <alignment horizontal="center" vertical="center" textRotation="90" wrapText="1"/>
    </xf>
    <xf numFmtId="0" fontId="17" fillId="8" borderId="20" xfId="0" applyFont="1" applyFill="1" applyBorder="1" applyAlignment="1">
      <alignment horizontal="center" vertical="center" textRotation="90" wrapText="1"/>
    </xf>
    <xf numFmtId="0" fontId="17" fillId="8" borderId="67" xfId="0" applyFont="1" applyFill="1" applyBorder="1" applyAlignment="1">
      <alignment horizontal="center" vertical="center" textRotation="90" wrapText="1"/>
    </xf>
    <xf numFmtId="0" fontId="17" fillId="8" borderId="62" xfId="0" applyFont="1" applyFill="1" applyBorder="1" applyAlignment="1">
      <alignment horizontal="center" vertical="center" textRotation="90" wrapText="1"/>
    </xf>
    <xf numFmtId="0" fontId="19" fillId="3" borderId="3" xfId="0" applyFont="1" applyFill="1" applyBorder="1" applyAlignment="1">
      <alignment horizontal="center" vertical="center"/>
    </xf>
    <xf numFmtId="0" fontId="19" fillId="3" borderId="2" xfId="0" applyFont="1" applyFill="1" applyBorder="1" applyAlignment="1">
      <alignment horizontal="center" vertical="center"/>
    </xf>
    <xf numFmtId="0" fontId="19" fillId="3" borderId="3" xfId="0" applyFont="1" applyFill="1" applyBorder="1" applyAlignment="1">
      <alignment horizontal="center" vertical="center" wrapText="1"/>
    </xf>
    <xf numFmtId="0" fontId="19" fillId="3" borderId="3" xfId="0" applyFont="1" applyFill="1" applyBorder="1" applyAlignment="1" applyProtection="1">
      <alignment horizontal="center" vertical="center" wrapText="1"/>
      <protection locked="0"/>
    </xf>
    <xf numFmtId="0" fontId="19" fillId="3" borderId="3" xfId="0" applyFont="1" applyFill="1" applyBorder="1" applyAlignment="1">
      <alignment horizontal="center" vertical="center" wrapText="1"/>
    </xf>
    <xf numFmtId="0" fontId="19" fillId="3" borderId="5" xfId="0" applyFont="1" applyFill="1" applyBorder="1" applyAlignment="1">
      <alignment horizontal="center" vertical="center"/>
    </xf>
    <xf numFmtId="0" fontId="20" fillId="3" borderId="3" xfId="0" applyFont="1" applyFill="1" applyBorder="1" applyAlignment="1">
      <alignment horizontal="center" vertical="center" wrapText="1"/>
    </xf>
    <xf numFmtId="0" fontId="19" fillId="3" borderId="3" xfId="0" applyFont="1" applyFill="1" applyBorder="1" applyAlignment="1">
      <alignment horizontal="center" vertical="center"/>
    </xf>
  </cellXfs>
  <cellStyles count="5">
    <cellStyle name="Comma" xfId="1" builtinId="3"/>
    <cellStyle name="Normal" xfId="0" builtinId="0"/>
    <cellStyle name="Normal 2 2 2 2" xfId="4" xr:uid="{19AC2218-E23F-479B-B320-733B19586181}"/>
    <cellStyle name="Normal 3 2 2 2" xfId="3" xr:uid="{13939F0D-83B0-49AD-9B6D-26E1A9084A00}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15240</xdr:colOff>
      <xdr:row>4</xdr:row>
      <xdr:rowOff>7620</xdr:rowOff>
    </xdr:from>
    <xdr:to>
      <xdr:col>11</xdr:col>
      <xdr:colOff>556260</xdr:colOff>
      <xdr:row>4</xdr:row>
      <xdr:rowOff>534349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FE6A7834-BD8E-9F81-BF7C-D63004961E46}"/>
            </a:ext>
          </a:extLst>
        </xdr:cNvPr>
        <xdr:cNvGrpSpPr/>
      </xdr:nvGrpSpPr>
      <xdr:grpSpPr>
        <a:xfrm>
          <a:off x="3491865" y="1169670"/>
          <a:ext cx="2741295" cy="404809"/>
          <a:chOff x="4869706" y="828741"/>
          <a:chExt cx="4495537" cy="526729"/>
        </a:xfrm>
      </xdr:grpSpPr>
      <xdr:sp macro="[0]!subSector1" textlink="">
        <xdr:nvSpPr>
          <xdr:cNvPr id="2" name="Rectangle 1">
            <a:extLst>
              <a:ext uri="{FF2B5EF4-FFF2-40B4-BE49-F238E27FC236}">
                <a16:creationId xmlns:a16="http://schemas.microsoft.com/office/drawing/2014/main" id="{5E8CFC7F-2B7B-5BE7-879E-D49C9121609D}"/>
              </a:ext>
            </a:extLst>
          </xdr:cNvPr>
          <xdr:cNvSpPr/>
        </xdr:nvSpPr>
        <xdr:spPr>
          <a:xfrm>
            <a:off x="4869706" y="828741"/>
            <a:ext cx="541020" cy="526729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Copy</a:t>
            </a:r>
          </a:p>
        </xdr:txBody>
      </xdr:sp>
      <xdr:sp macro="[0]!subSector2" textlink="">
        <xdr:nvSpPr>
          <xdr:cNvPr id="3" name="Rectangle 2">
            <a:extLst>
              <a:ext uri="{FF2B5EF4-FFF2-40B4-BE49-F238E27FC236}">
                <a16:creationId xmlns:a16="http://schemas.microsoft.com/office/drawing/2014/main" id="{818B58FF-B894-8D71-3AFE-DBE123F0C68F}"/>
              </a:ext>
            </a:extLst>
          </xdr:cNvPr>
          <xdr:cNvSpPr/>
        </xdr:nvSpPr>
        <xdr:spPr>
          <a:xfrm>
            <a:off x="5434637" y="828741"/>
            <a:ext cx="541020" cy="526729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Copy</a:t>
            </a:r>
          </a:p>
        </xdr:txBody>
      </xdr:sp>
      <xdr:sp macro="[0]!subSector3" textlink="">
        <xdr:nvSpPr>
          <xdr:cNvPr id="4" name="Rectangle 3">
            <a:extLst>
              <a:ext uri="{FF2B5EF4-FFF2-40B4-BE49-F238E27FC236}">
                <a16:creationId xmlns:a16="http://schemas.microsoft.com/office/drawing/2014/main" id="{A7F6E460-0B57-D209-8118-C07B967FB633}"/>
              </a:ext>
            </a:extLst>
          </xdr:cNvPr>
          <xdr:cNvSpPr/>
        </xdr:nvSpPr>
        <xdr:spPr>
          <a:xfrm>
            <a:off x="5999568" y="828741"/>
            <a:ext cx="541020" cy="526729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Copy</a:t>
            </a:r>
          </a:p>
        </xdr:txBody>
      </xdr:sp>
      <xdr:sp macro="[0]!subSector4" textlink="">
        <xdr:nvSpPr>
          <xdr:cNvPr id="5" name="Rectangle 4">
            <a:extLst>
              <a:ext uri="{FF2B5EF4-FFF2-40B4-BE49-F238E27FC236}">
                <a16:creationId xmlns:a16="http://schemas.microsoft.com/office/drawing/2014/main" id="{CEE170B5-DD91-317F-46C4-D17A7F9A3851}"/>
              </a:ext>
            </a:extLst>
          </xdr:cNvPr>
          <xdr:cNvSpPr/>
        </xdr:nvSpPr>
        <xdr:spPr>
          <a:xfrm>
            <a:off x="6564499" y="828741"/>
            <a:ext cx="541020" cy="526729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Copy</a:t>
            </a:r>
          </a:p>
        </xdr:txBody>
      </xdr:sp>
      <xdr:sp macro="[0]!subSector5" textlink="">
        <xdr:nvSpPr>
          <xdr:cNvPr id="6" name="Rectangle 5">
            <a:extLst>
              <a:ext uri="{FF2B5EF4-FFF2-40B4-BE49-F238E27FC236}">
                <a16:creationId xmlns:a16="http://schemas.microsoft.com/office/drawing/2014/main" id="{4D461525-4F72-F8FC-4267-08F0C62A50FB}"/>
              </a:ext>
            </a:extLst>
          </xdr:cNvPr>
          <xdr:cNvSpPr/>
        </xdr:nvSpPr>
        <xdr:spPr>
          <a:xfrm>
            <a:off x="7129430" y="828741"/>
            <a:ext cx="541020" cy="526729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Copy</a:t>
            </a:r>
          </a:p>
        </xdr:txBody>
      </xdr:sp>
      <xdr:sp macro="[0]!subSector6" textlink="">
        <xdr:nvSpPr>
          <xdr:cNvPr id="7" name="Rectangle 6">
            <a:extLst>
              <a:ext uri="{FF2B5EF4-FFF2-40B4-BE49-F238E27FC236}">
                <a16:creationId xmlns:a16="http://schemas.microsoft.com/office/drawing/2014/main" id="{E1E9A747-655A-C7F1-EB80-732FCEBDC3EA}"/>
              </a:ext>
            </a:extLst>
          </xdr:cNvPr>
          <xdr:cNvSpPr/>
        </xdr:nvSpPr>
        <xdr:spPr>
          <a:xfrm>
            <a:off x="7694361" y="828741"/>
            <a:ext cx="541020" cy="526729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Copy</a:t>
            </a:r>
          </a:p>
        </xdr:txBody>
      </xdr:sp>
      <xdr:sp macro="[0]!subSector7" textlink="">
        <xdr:nvSpPr>
          <xdr:cNvPr id="8" name="Rectangle 7">
            <a:extLst>
              <a:ext uri="{FF2B5EF4-FFF2-40B4-BE49-F238E27FC236}">
                <a16:creationId xmlns:a16="http://schemas.microsoft.com/office/drawing/2014/main" id="{9EE6CD98-D52E-D8B2-85F7-315074765B46}"/>
              </a:ext>
            </a:extLst>
          </xdr:cNvPr>
          <xdr:cNvSpPr/>
        </xdr:nvSpPr>
        <xdr:spPr>
          <a:xfrm>
            <a:off x="8259292" y="828741"/>
            <a:ext cx="541020" cy="526729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Copy</a:t>
            </a:r>
          </a:p>
        </xdr:txBody>
      </xdr:sp>
      <xdr:sp macro="[0]!subSector8" textlink="">
        <xdr:nvSpPr>
          <xdr:cNvPr id="9" name="Rectangle 8">
            <a:extLst>
              <a:ext uri="{FF2B5EF4-FFF2-40B4-BE49-F238E27FC236}">
                <a16:creationId xmlns:a16="http://schemas.microsoft.com/office/drawing/2014/main" id="{57423201-F312-E0BC-2D4F-B23C14BF363B}"/>
              </a:ext>
            </a:extLst>
          </xdr:cNvPr>
          <xdr:cNvSpPr/>
        </xdr:nvSpPr>
        <xdr:spPr>
          <a:xfrm>
            <a:off x="8824223" y="828741"/>
            <a:ext cx="541020" cy="526729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Copy</a:t>
            </a:r>
          </a:p>
        </xdr:txBody>
      </xdr:sp>
    </xdr:grpSp>
    <xdr:clientData/>
  </xdr:twoCellAnchor>
  <xdr:twoCellAnchor>
    <xdr:from>
      <xdr:col>43</xdr:col>
      <xdr:colOff>603249</xdr:colOff>
      <xdr:row>0</xdr:row>
      <xdr:rowOff>254000</xdr:rowOff>
    </xdr:from>
    <xdr:to>
      <xdr:col>48</xdr:col>
      <xdr:colOff>37041</xdr:colOff>
      <xdr:row>3</xdr:row>
      <xdr:rowOff>127000</xdr:rowOff>
    </xdr:to>
    <xdr:sp macro="[0]!copyDataOldFile" textlink="">
      <xdr:nvSpPr>
        <xdr:cNvPr id="11" name="Rectangle 10">
          <a:extLst>
            <a:ext uri="{FF2B5EF4-FFF2-40B4-BE49-F238E27FC236}">
              <a16:creationId xmlns:a16="http://schemas.microsoft.com/office/drawing/2014/main" id="{C4EF0C5F-19E4-457C-A0C5-6705AC6972F7}"/>
            </a:ext>
          </a:extLst>
        </xdr:cNvPr>
        <xdr:cNvSpPr/>
      </xdr:nvSpPr>
      <xdr:spPr>
        <a:xfrm>
          <a:off x="29294666" y="254000"/>
          <a:ext cx="2502958" cy="698500"/>
        </a:xfrm>
        <a:prstGeom prst="rect">
          <a:avLst/>
        </a:prstGeom>
        <a:gradFill rotWithShape="1">
          <a:gsLst>
            <a:gs pos="0">
              <a:srgbClr val="5B9BD5">
                <a:satMod val="103000"/>
                <a:lumMod val="102000"/>
                <a:tint val="94000"/>
              </a:srgbClr>
            </a:gs>
            <a:gs pos="50000">
              <a:srgbClr val="5B9BD5">
                <a:satMod val="110000"/>
                <a:lumMod val="100000"/>
                <a:shade val="100000"/>
              </a:srgbClr>
            </a:gs>
            <a:gs pos="100000">
              <a:srgbClr val="5B9BD5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Copy Data from OLD FILE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15240</xdr:colOff>
      <xdr:row>5</xdr:row>
      <xdr:rowOff>7620</xdr:rowOff>
    </xdr:from>
    <xdr:to>
      <xdr:col>7</xdr:col>
      <xdr:colOff>556260</xdr:colOff>
      <xdr:row>5</xdr:row>
      <xdr:rowOff>534349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E692ED2-846C-B461-892C-5BFD93CE8A85}"/>
            </a:ext>
          </a:extLst>
        </xdr:cNvPr>
        <xdr:cNvGrpSpPr/>
      </xdr:nvGrpSpPr>
      <xdr:grpSpPr>
        <a:xfrm>
          <a:off x="4146973" y="1827953"/>
          <a:ext cx="1819487" cy="526729"/>
          <a:chOff x="4870269" y="1825534"/>
          <a:chExt cx="2239191" cy="526729"/>
        </a:xfrm>
      </xdr:grpSpPr>
      <xdr:sp macro="[0]!doeSubSector1" textlink="">
        <xdr:nvSpPr>
          <xdr:cNvPr id="3" name="Rectangle 2">
            <a:extLst>
              <a:ext uri="{FF2B5EF4-FFF2-40B4-BE49-F238E27FC236}">
                <a16:creationId xmlns:a16="http://schemas.microsoft.com/office/drawing/2014/main" id="{FA68B7D1-8261-737F-0DEF-195CC0BC2690}"/>
              </a:ext>
            </a:extLst>
          </xdr:cNvPr>
          <xdr:cNvSpPr/>
        </xdr:nvSpPr>
        <xdr:spPr>
          <a:xfrm>
            <a:off x="4870269" y="1825534"/>
            <a:ext cx="545462" cy="526729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Copy</a:t>
            </a:r>
          </a:p>
        </xdr:txBody>
      </xdr:sp>
      <xdr:sp macro="[0]!doeSubSector2" textlink="">
        <xdr:nvSpPr>
          <xdr:cNvPr id="4" name="Rectangle 3">
            <a:extLst>
              <a:ext uri="{FF2B5EF4-FFF2-40B4-BE49-F238E27FC236}">
                <a16:creationId xmlns:a16="http://schemas.microsoft.com/office/drawing/2014/main" id="{E3114CCF-3057-E40A-E182-83A8DE0A0874}"/>
              </a:ext>
            </a:extLst>
          </xdr:cNvPr>
          <xdr:cNvSpPr/>
        </xdr:nvSpPr>
        <xdr:spPr>
          <a:xfrm>
            <a:off x="5435692" y="1825534"/>
            <a:ext cx="545462" cy="526729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Copy</a:t>
            </a:r>
          </a:p>
        </xdr:txBody>
      </xdr:sp>
      <xdr:sp macro="[0]!doeSubSector3" textlink="">
        <xdr:nvSpPr>
          <xdr:cNvPr id="7" name="Rectangle 6">
            <a:extLst>
              <a:ext uri="{FF2B5EF4-FFF2-40B4-BE49-F238E27FC236}">
                <a16:creationId xmlns:a16="http://schemas.microsoft.com/office/drawing/2014/main" id="{57CBAE35-BB4A-8FBB-FE3C-309A2D8D4007}"/>
              </a:ext>
            </a:extLst>
          </xdr:cNvPr>
          <xdr:cNvSpPr/>
        </xdr:nvSpPr>
        <xdr:spPr>
          <a:xfrm>
            <a:off x="5999845" y="1825534"/>
            <a:ext cx="545462" cy="526729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Copy</a:t>
            </a:r>
          </a:p>
        </xdr:txBody>
      </xdr:sp>
      <xdr:sp macro="[0]!doeSubSector4" textlink="">
        <xdr:nvSpPr>
          <xdr:cNvPr id="10" name="Rectangle 9">
            <a:extLst>
              <a:ext uri="{FF2B5EF4-FFF2-40B4-BE49-F238E27FC236}">
                <a16:creationId xmlns:a16="http://schemas.microsoft.com/office/drawing/2014/main" id="{68D848C5-BD32-39C5-1D2B-1613838ECACF}"/>
              </a:ext>
            </a:extLst>
          </xdr:cNvPr>
          <xdr:cNvSpPr/>
        </xdr:nvSpPr>
        <xdr:spPr>
          <a:xfrm>
            <a:off x="6563998" y="1825534"/>
            <a:ext cx="545462" cy="526729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Copy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10887</xdr:colOff>
      <xdr:row>5</xdr:row>
      <xdr:rowOff>10885</xdr:rowOff>
    </xdr:from>
    <xdr:to>
      <xdr:col>7</xdr:col>
      <xdr:colOff>551907</xdr:colOff>
      <xdr:row>5</xdr:row>
      <xdr:rowOff>537614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830FA6A2-F244-4366-8CB8-0188A8805037}"/>
            </a:ext>
          </a:extLst>
        </xdr:cNvPr>
        <xdr:cNvGrpSpPr/>
      </xdr:nvGrpSpPr>
      <xdr:grpSpPr>
        <a:xfrm>
          <a:off x="3996147" y="1816825"/>
          <a:ext cx="1760220" cy="526729"/>
          <a:chOff x="4870269" y="1825534"/>
          <a:chExt cx="2239191" cy="526729"/>
        </a:xfrm>
      </xdr:grpSpPr>
      <xdr:sp macro="[0]!doeSubSector1" textlink="">
        <xdr:nvSpPr>
          <xdr:cNvPr id="7" name="Rectangle 6">
            <a:extLst>
              <a:ext uri="{FF2B5EF4-FFF2-40B4-BE49-F238E27FC236}">
                <a16:creationId xmlns:a16="http://schemas.microsoft.com/office/drawing/2014/main" id="{4DD69AE2-CD3E-B2A7-1F82-A98BA42BFEDB}"/>
              </a:ext>
            </a:extLst>
          </xdr:cNvPr>
          <xdr:cNvSpPr/>
        </xdr:nvSpPr>
        <xdr:spPr>
          <a:xfrm>
            <a:off x="4870269" y="1825534"/>
            <a:ext cx="545462" cy="526729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Copy</a:t>
            </a:r>
          </a:p>
        </xdr:txBody>
      </xdr:sp>
      <xdr:sp macro="[0]!doeSubSector2" textlink="">
        <xdr:nvSpPr>
          <xdr:cNvPr id="8" name="Rectangle 7">
            <a:extLst>
              <a:ext uri="{FF2B5EF4-FFF2-40B4-BE49-F238E27FC236}">
                <a16:creationId xmlns:a16="http://schemas.microsoft.com/office/drawing/2014/main" id="{0C61A176-0639-0D83-5DA2-8BF9B9C8C4E0}"/>
              </a:ext>
            </a:extLst>
          </xdr:cNvPr>
          <xdr:cNvSpPr/>
        </xdr:nvSpPr>
        <xdr:spPr>
          <a:xfrm>
            <a:off x="5435692" y="1825534"/>
            <a:ext cx="545462" cy="526729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Copy</a:t>
            </a:r>
          </a:p>
        </xdr:txBody>
      </xdr:sp>
      <xdr:sp macro="[0]!doeSubSector3" textlink="">
        <xdr:nvSpPr>
          <xdr:cNvPr id="9" name="Rectangle 8">
            <a:extLst>
              <a:ext uri="{FF2B5EF4-FFF2-40B4-BE49-F238E27FC236}">
                <a16:creationId xmlns:a16="http://schemas.microsoft.com/office/drawing/2014/main" id="{61852DDF-0D3C-2D30-ADBA-80DE5CD45B3A}"/>
              </a:ext>
            </a:extLst>
          </xdr:cNvPr>
          <xdr:cNvSpPr/>
        </xdr:nvSpPr>
        <xdr:spPr>
          <a:xfrm>
            <a:off x="5999845" y="1825534"/>
            <a:ext cx="545462" cy="526729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Copy</a:t>
            </a:r>
          </a:p>
        </xdr:txBody>
      </xdr:sp>
      <xdr:sp macro="[0]!doeSubSector4" textlink="">
        <xdr:nvSpPr>
          <xdr:cNvPr id="10" name="Rectangle 9">
            <a:extLst>
              <a:ext uri="{FF2B5EF4-FFF2-40B4-BE49-F238E27FC236}">
                <a16:creationId xmlns:a16="http://schemas.microsoft.com/office/drawing/2014/main" id="{5F202967-A774-9D79-271A-248B553730C0}"/>
              </a:ext>
            </a:extLst>
          </xdr:cNvPr>
          <xdr:cNvSpPr/>
        </xdr:nvSpPr>
        <xdr:spPr>
          <a:xfrm>
            <a:off x="6563998" y="1825534"/>
            <a:ext cx="545462" cy="526729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Copy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21772</xdr:colOff>
      <xdr:row>5</xdr:row>
      <xdr:rowOff>10888</xdr:rowOff>
    </xdr:from>
    <xdr:to>
      <xdr:col>7</xdr:col>
      <xdr:colOff>562792</xdr:colOff>
      <xdr:row>5</xdr:row>
      <xdr:rowOff>537617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56642E88-2ACE-42BD-AFD4-CC2247D051DD}"/>
            </a:ext>
          </a:extLst>
        </xdr:cNvPr>
        <xdr:cNvGrpSpPr/>
      </xdr:nvGrpSpPr>
      <xdr:grpSpPr>
        <a:xfrm>
          <a:off x="3930384" y="1821759"/>
          <a:ext cx="1796079" cy="526729"/>
          <a:chOff x="4870269" y="1825534"/>
          <a:chExt cx="2239191" cy="526729"/>
        </a:xfrm>
      </xdr:grpSpPr>
      <xdr:sp macro="[0]!doeSubSector1" textlink="">
        <xdr:nvSpPr>
          <xdr:cNvPr id="7" name="Rectangle 6">
            <a:extLst>
              <a:ext uri="{FF2B5EF4-FFF2-40B4-BE49-F238E27FC236}">
                <a16:creationId xmlns:a16="http://schemas.microsoft.com/office/drawing/2014/main" id="{95B1C413-CA54-FB0D-4DFB-D642A7FD11F7}"/>
              </a:ext>
            </a:extLst>
          </xdr:cNvPr>
          <xdr:cNvSpPr/>
        </xdr:nvSpPr>
        <xdr:spPr>
          <a:xfrm>
            <a:off x="4870269" y="1825534"/>
            <a:ext cx="545462" cy="526729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Copy</a:t>
            </a:r>
          </a:p>
        </xdr:txBody>
      </xdr:sp>
      <xdr:sp macro="[0]!doeSubSector2" textlink="">
        <xdr:nvSpPr>
          <xdr:cNvPr id="8" name="Rectangle 7">
            <a:extLst>
              <a:ext uri="{FF2B5EF4-FFF2-40B4-BE49-F238E27FC236}">
                <a16:creationId xmlns:a16="http://schemas.microsoft.com/office/drawing/2014/main" id="{1BE029E1-F3D5-18B0-E552-E00330140F04}"/>
              </a:ext>
            </a:extLst>
          </xdr:cNvPr>
          <xdr:cNvSpPr/>
        </xdr:nvSpPr>
        <xdr:spPr>
          <a:xfrm>
            <a:off x="5435692" y="1825534"/>
            <a:ext cx="545462" cy="526729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Copy</a:t>
            </a:r>
          </a:p>
        </xdr:txBody>
      </xdr:sp>
      <xdr:sp macro="[0]!doeSubSector3" textlink="">
        <xdr:nvSpPr>
          <xdr:cNvPr id="9" name="Rectangle 8">
            <a:extLst>
              <a:ext uri="{FF2B5EF4-FFF2-40B4-BE49-F238E27FC236}">
                <a16:creationId xmlns:a16="http://schemas.microsoft.com/office/drawing/2014/main" id="{81EFA135-A97C-574A-3D4A-0FCC046806EF}"/>
              </a:ext>
            </a:extLst>
          </xdr:cNvPr>
          <xdr:cNvSpPr/>
        </xdr:nvSpPr>
        <xdr:spPr>
          <a:xfrm>
            <a:off x="5999845" y="1825534"/>
            <a:ext cx="545462" cy="526729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Copy</a:t>
            </a:r>
          </a:p>
        </xdr:txBody>
      </xdr:sp>
      <xdr:sp macro="[0]!doeSubSector4" textlink="">
        <xdr:nvSpPr>
          <xdr:cNvPr id="10" name="Rectangle 9">
            <a:extLst>
              <a:ext uri="{FF2B5EF4-FFF2-40B4-BE49-F238E27FC236}">
                <a16:creationId xmlns:a16="http://schemas.microsoft.com/office/drawing/2014/main" id="{17CE7A51-C4E1-DBAD-E3B3-2C12A6F6D423}"/>
              </a:ext>
            </a:extLst>
          </xdr:cNvPr>
          <xdr:cNvSpPr/>
        </xdr:nvSpPr>
        <xdr:spPr>
          <a:xfrm>
            <a:off x="6563998" y="1825534"/>
            <a:ext cx="545462" cy="526729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Copy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5</xdr:row>
      <xdr:rowOff>10886</xdr:rowOff>
    </xdr:from>
    <xdr:to>
      <xdr:col>7</xdr:col>
      <xdr:colOff>541020</xdr:colOff>
      <xdr:row>5</xdr:row>
      <xdr:rowOff>537615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EC9E87A2-A132-4DBC-9188-A1ECDE11DEA7}"/>
            </a:ext>
          </a:extLst>
        </xdr:cNvPr>
        <xdr:cNvGrpSpPr/>
      </xdr:nvGrpSpPr>
      <xdr:grpSpPr>
        <a:xfrm>
          <a:off x="4186518" y="1821757"/>
          <a:ext cx="1759323" cy="526729"/>
          <a:chOff x="4870269" y="1825534"/>
          <a:chExt cx="2239191" cy="526729"/>
        </a:xfrm>
      </xdr:grpSpPr>
      <xdr:sp macro="[0]!doeSubSector1" textlink="">
        <xdr:nvSpPr>
          <xdr:cNvPr id="7" name="Rectangle 6">
            <a:extLst>
              <a:ext uri="{FF2B5EF4-FFF2-40B4-BE49-F238E27FC236}">
                <a16:creationId xmlns:a16="http://schemas.microsoft.com/office/drawing/2014/main" id="{7CAD21BF-84CD-6F45-BF41-A58A1BB3681F}"/>
              </a:ext>
            </a:extLst>
          </xdr:cNvPr>
          <xdr:cNvSpPr/>
        </xdr:nvSpPr>
        <xdr:spPr>
          <a:xfrm>
            <a:off x="4870269" y="1825534"/>
            <a:ext cx="545462" cy="526729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Copy</a:t>
            </a:r>
          </a:p>
        </xdr:txBody>
      </xdr:sp>
      <xdr:sp macro="[0]!doeSubSector2" textlink="">
        <xdr:nvSpPr>
          <xdr:cNvPr id="8" name="Rectangle 7">
            <a:extLst>
              <a:ext uri="{FF2B5EF4-FFF2-40B4-BE49-F238E27FC236}">
                <a16:creationId xmlns:a16="http://schemas.microsoft.com/office/drawing/2014/main" id="{F2E0DA4B-30F8-C1F8-5762-0598B1EF93B9}"/>
              </a:ext>
            </a:extLst>
          </xdr:cNvPr>
          <xdr:cNvSpPr/>
        </xdr:nvSpPr>
        <xdr:spPr>
          <a:xfrm>
            <a:off x="5435692" y="1825534"/>
            <a:ext cx="545462" cy="526729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Copy</a:t>
            </a:r>
          </a:p>
        </xdr:txBody>
      </xdr:sp>
      <xdr:sp macro="[0]!doeSubSector3" textlink="">
        <xdr:nvSpPr>
          <xdr:cNvPr id="9" name="Rectangle 8">
            <a:extLst>
              <a:ext uri="{FF2B5EF4-FFF2-40B4-BE49-F238E27FC236}">
                <a16:creationId xmlns:a16="http://schemas.microsoft.com/office/drawing/2014/main" id="{90EF810B-0283-8C32-5A5B-DE3346314173}"/>
              </a:ext>
            </a:extLst>
          </xdr:cNvPr>
          <xdr:cNvSpPr/>
        </xdr:nvSpPr>
        <xdr:spPr>
          <a:xfrm>
            <a:off x="5999845" y="1825534"/>
            <a:ext cx="545462" cy="526729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Copy</a:t>
            </a:r>
          </a:p>
        </xdr:txBody>
      </xdr:sp>
      <xdr:sp macro="[0]!doeSubSector4" textlink="">
        <xdr:nvSpPr>
          <xdr:cNvPr id="10" name="Rectangle 9">
            <a:extLst>
              <a:ext uri="{FF2B5EF4-FFF2-40B4-BE49-F238E27FC236}">
                <a16:creationId xmlns:a16="http://schemas.microsoft.com/office/drawing/2014/main" id="{5AA81012-3D99-6EFD-830E-036690F5DED4}"/>
              </a:ext>
            </a:extLst>
          </xdr:cNvPr>
          <xdr:cNvSpPr/>
        </xdr:nvSpPr>
        <xdr:spPr>
          <a:xfrm>
            <a:off x="6563998" y="1825534"/>
            <a:ext cx="545462" cy="526729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Copy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5</xdr:row>
      <xdr:rowOff>0</xdr:rowOff>
    </xdr:from>
    <xdr:to>
      <xdr:col>7</xdr:col>
      <xdr:colOff>541020</xdr:colOff>
      <xdr:row>5</xdr:row>
      <xdr:rowOff>526729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9879F62A-5D66-4BFB-9BA0-EFC5B515EFB4}"/>
            </a:ext>
          </a:extLst>
        </xdr:cNvPr>
        <xdr:cNvGrpSpPr/>
      </xdr:nvGrpSpPr>
      <xdr:grpSpPr>
        <a:xfrm>
          <a:off x="3749040" y="1805940"/>
          <a:ext cx="1874520" cy="526729"/>
          <a:chOff x="4870269" y="1825534"/>
          <a:chExt cx="2239191" cy="526729"/>
        </a:xfrm>
      </xdr:grpSpPr>
      <xdr:sp macro="[0]!doeSubSector1" textlink="">
        <xdr:nvSpPr>
          <xdr:cNvPr id="7" name="Rectangle 6">
            <a:extLst>
              <a:ext uri="{FF2B5EF4-FFF2-40B4-BE49-F238E27FC236}">
                <a16:creationId xmlns:a16="http://schemas.microsoft.com/office/drawing/2014/main" id="{5673EE70-D329-33D2-11D0-68C597045497}"/>
              </a:ext>
            </a:extLst>
          </xdr:cNvPr>
          <xdr:cNvSpPr/>
        </xdr:nvSpPr>
        <xdr:spPr>
          <a:xfrm>
            <a:off x="4870269" y="1825534"/>
            <a:ext cx="545462" cy="526729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Copy</a:t>
            </a:r>
          </a:p>
        </xdr:txBody>
      </xdr:sp>
      <xdr:sp macro="[0]!doeSubSector2" textlink="">
        <xdr:nvSpPr>
          <xdr:cNvPr id="8" name="Rectangle 7">
            <a:extLst>
              <a:ext uri="{FF2B5EF4-FFF2-40B4-BE49-F238E27FC236}">
                <a16:creationId xmlns:a16="http://schemas.microsoft.com/office/drawing/2014/main" id="{4531B0D9-28B3-4F4B-76CA-DB113D8EFEA5}"/>
              </a:ext>
            </a:extLst>
          </xdr:cNvPr>
          <xdr:cNvSpPr/>
        </xdr:nvSpPr>
        <xdr:spPr>
          <a:xfrm>
            <a:off x="5435692" y="1825534"/>
            <a:ext cx="545462" cy="526729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Copy</a:t>
            </a:r>
          </a:p>
        </xdr:txBody>
      </xdr:sp>
      <xdr:sp macro="[0]!doeSubSector3" textlink="">
        <xdr:nvSpPr>
          <xdr:cNvPr id="9" name="Rectangle 8">
            <a:extLst>
              <a:ext uri="{FF2B5EF4-FFF2-40B4-BE49-F238E27FC236}">
                <a16:creationId xmlns:a16="http://schemas.microsoft.com/office/drawing/2014/main" id="{DF019A3E-BF54-4ED6-AAD8-689751CD2061}"/>
              </a:ext>
            </a:extLst>
          </xdr:cNvPr>
          <xdr:cNvSpPr/>
        </xdr:nvSpPr>
        <xdr:spPr>
          <a:xfrm>
            <a:off x="5999845" y="1825534"/>
            <a:ext cx="545462" cy="526729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Copy</a:t>
            </a:r>
          </a:p>
        </xdr:txBody>
      </xdr:sp>
      <xdr:sp macro="[0]!doeSubSector4" textlink="">
        <xdr:nvSpPr>
          <xdr:cNvPr id="10" name="Rectangle 9">
            <a:extLst>
              <a:ext uri="{FF2B5EF4-FFF2-40B4-BE49-F238E27FC236}">
                <a16:creationId xmlns:a16="http://schemas.microsoft.com/office/drawing/2014/main" id="{39A63AC9-9D64-0B0A-5F52-26E30C06771C}"/>
              </a:ext>
            </a:extLst>
          </xdr:cNvPr>
          <xdr:cNvSpPr/>
        </xdr:nvSpPr>
        <xdr:spPr>
          <a:xfrm>
            <a:off x="6563998" y="1825534"/>
            <a:ext cx="545462" cy="526729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Copy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10886</xdr:colOff>
      <xdr:row>5</xdr:row>
      <xdr:rowOff>0</xdr:rowOff>
    </xdr:from>
    <xdr:to>
      <xdr:col>7</xdr:col>
      <xdr:colOff>551906</xdr:colOff>
      <xdr:row>5</xdr:row>
      <xdr:rowOff>526729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7B649909-72DC-424D-B946-36324F9A4030}"/>
            </a:ext>
          </a:extLst>
        </xdr:cNvPr>
        <xdr:cNvGrpSpPr/>
      </xdr:nvGrpSpPr>
      <xdr:grpSpPr>
        <a:xfrm>
          <a:off x="3638006" y="1805940"/>
          <a:ext cx="1950720" cy="526729"/>
          <a:chOff x="4870269" y="1825534"/>
          <a:chExt cx="2239191" cy="526729"/>
        </a:xfrm>
      </xdr:grpSpPr>
      <xdr:sp macro="[0]!doeSubSector1" textlink="">
        <xdr:nvSpPr>
          <xdr:cNvPr id="7" name="Rectangle 6">
            <a:extLst>
              <a:ext uri="{FF2B5EF4-FFF2-40B4-BE49-F238E27FC236}">
                <a16:creationId xmlns:a16="http://schemas.microsoft.com/office/drawing/2014/main" id="{58945336-AAC6-2C60-F028-A7EAA5927EF9}"/>
              </a:ext>
            </a:extLst>
          </xdr:cNvPr>
          <xdr:cNvSpPr/>
        </xdr:nvSpPr>
        <xdr:spPr>
          <a:xfrm>
            <a:off x="4870269" y="1825534"/>
            <a:ext cx="545462" cy="526729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Copy</a:t>
            </a:r>
          </a:p>
        </xdr:txBody>
      </xdr:sp>
      <xdr:sp macro="[0]!doeSubSector2" textlink="">
        <xdr:nvSpPr>
          <xdr:cNvPr id="8" name="Rectangle 7">
            <a:extLst>
              <a:ext uri="{FF2B5EF4-FFF2-40B4-BE49-F238E27FC236}">
                <a16:creationId xmlns:a16="http://schemas.microsoft.com/office/drawing/2014/main" id="{98935DC5-328E-495E-7542-CFD57B7259FB}"/>
              </a:ext>
            </a:extLst>
          </xdr:cNvPr>
          <xdr:cNvSpPr/>
        </xdr:nvSpPr>
        <xdr:spPr>
          <a:xfrm>
            <a:off x="5435692" y="1825534"/>
            <a:ext cx="545462" cy="526729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Copy</a:t>
            </a:r>
          </a:p>
        </xdr:txBody>
      </xdr:sp>
      <xdr:sp macro="[0]!doeSubSector3" textlink="">
        <xdr:nvSpPr>
          <xdr:cNvPr id="9" name="Rectangle 8">
            <a:extLst>
              <a:ext uri="{FF2B5EF4-FFF2-40B4-BE49-F238E27FC236}">
                <a16:creationId xmlns:a16="http://schemas.microsoft.com/office/drawing/2014/main" id="{05A1E2A1-C6F1-716E-2706-8E9D6D3EB541}"/>
              </a:ext>
            </a:extLst>
          </xdr:cNvPr>
          <xdr:cNvSpPr/>
        </xdr:nvSpPr>
        <xdr:spPr>
          <a:xfrm>
            <a:off x="5999845" y="1825534"/>
            <a:ext cx="545462" cy="526729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Copy</a:t>
            </a:r>
          </a:p>
        </xdr:txBody>
      </xdr:sp>
      <xdr:sp macro="[0]!doeSubSector4" textlink="">
        <xdr:nvSpPr>
          <xdr:cNvPr id="10" name="Rectangle 9">
            <a:extLst>
              <a:ext uri="{FF2B5EF4-FFF2-40B4-BE49-F238E27FC236}">
                <a16:creationId xmlns:a16="http://schemas.microsoft.com/office/drawing/2014/main" id="{328213D3-134A-0B1F-52E9-A5D7066D892A}"/>
              </a:ext>
            </a:extLst>
          </xdr:cNvPr>
          <xdr:cNvSpPr/>
        </xdr:nvSpPr>
        <xdr:spPr>
          <a:xfrm>
            <a:off x="6563998" y="1825534"/>
            <a:ext cx="545462" cy="526729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Copy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10886</xdr:colOff>
      <xdr:row>5</xdr:row>
      <xdr:rowOff>0</xdr:rowOff>
    </xdr:from>
    <xdr:to>
      <xdr:col>7</xdr:col>
      <xdr:colOff>551906</xdr:colOff>
      <xdr:row>5</xdr:row>
      <xdr:rowOff>526729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EB4B4ECD-2EEA-495B-A75B-25A54A3A3933}"/>
            </a:ext>
          </a:extLst>
        </xdr:cNvPr>
        <xdr:cNvGrpSpPr/>
      </xdr:nvGrpSpPr>
      <xdr:grpSpPr>
        <a:xfrm>
          <a:off x="3469703" y="1802296"/>
          <a:ext cx="1815880" cy="526729"/>
          <a:chOff x="4870269" y="1825534"/>
          <a:chExt cx="2239191" cy="526729"/>
        </a:xfrm>
      </xdr:grpSpPr>
      <xdr:sp macro="[0]!doeSubSector1" textlink="">
        <xdr:nvSpPr>
          <xdr:cNvPr id="11" name="Rectangle 10">
            <a:extLst>
              <a:ext uri="{FF2B5EF4-FFF2-40B4-BE49-F238E27FC236}">
                <a16:creationId xmlns:a16="http://schemas.microsoft.com/office/drawing/2014/main" id="{855DA44A-54BE-FFEA-B2D9-3E88FE584EC9}"/>
              </a:ext>
            </a:extLst>
          </xdr:cNvPr>
          <xdr:cNvSpPr/>
        </xdr:nvSpPr>
        <xdr:spPr>
          <a:xfrm>
            <a:off x="4870269" y="1825534"/>
            <a:ext cx="545462" cy="526729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Copy</a:t>
            </a:r>
          </a:p>
        </xdr:txBody>
      </xdr:sp>
      <xdr:sp macro="[0]!doeSubSector2" textlink="">
        <xdr:nvSpPr>
          <xdr:cNvPr id="12" name="Rectangle 11">
            <a:extLst>
              <a:ext uri="{FF2B5EF4-FFF2-40B4-BE49-F238E27FC236}">
                <a16:creationId xmlns:a16="http://schemas.microsoft.com/office/drawing/2014/main" id="{D08110A9-A71C-7DF5-A979-C4ED5842DE93}"/>
              </a:ext>
            </a:extLst>
          </xdr:cNvPr>
          <xdr:cNvSpPr/>
        </xdr:nvSpPr>
        <xdr:spPr>
          <a:xfrm>
            <a:off x="5435692" y="1825534"/>
            <a:ext cx="545462" cy="526729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Copy</a:t>
            </a:r>
          </a:p>
        </xdr:txBody>
      </xdr:sp>
      <xdr:sp macro="[0]!doeSubSector3" textlink="">
        <xdr:nvSpPr>
          <xdr:cNvPr id="13" name="Rectangle 12">
            <a:extLst>
              <a:ext uri="{FF2B5EF4-FFF2-40B4-BE49-F238E27FC236}">
                <a16:creationId xmlns:a16="http://schemas.microsoft.com/office/drawing/2014/main" id="{488000FB-0DA5-BEB7-F0D1-CEEDE6557CC9}"/>
              </a:ext>
            </a:extLst>
          </xdr:cNvPr>
          <xdr:cNvSpPr/>
        </xdr:nvSpPr>
        <xdr:spPr>
          <a:xfrm>
            <a:off x="5999845" y="1825534"/>
            <a:ext cx="545462" cy="526729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Copy</a:t>
            </a:r>
          </a:p>
        </xdr:txBody>
      </xdr:sp>
      <xdr:sp macro="[0]!doeSubSector4" textlink="">
        <xdr:nvSpPr>
          <xdr:cNvPr id="14" name="Rectangle 13">
            <a:extLst>
              <a:ext uri="{FF2B5EF4-FFF2-40B4-BE49-F238E27FC236}">
                <a16:creationId xmlns:a16="http://schemas.microsoft.com/office/drawing/2014/main" id="{F6DDF76C-61EE-6AE6-60CE-65AA8487C0D3}"/>
              </a:ext>
            </a:extLst>
          </xdr:cNvPr>
          <xdr:cNvSpPr/>
        </xdr:nvSpPr>
        <xdr:spPr>
          <a:xfrm>
            <a:off x="6563998" y="1825534"/>
            <a:ext cx="545462" cy="526729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Copy</a:t>
            </a: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10886</xdr:colOff>
      <xdr:row>5</xdr:row>
      <xdr:rowOff>0</xdr:rowOff>
    </xdr:from>
    <xdr:to>
      <xdr:col>7</xdr:col>
      <xdr:colOff>551906</xdr:colOff>
      <xdr:row>5</xdr:row>
      <xdr:rowOff>526729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27D7320F-0557-4EDB-9A29-9C674574C7C9}"/>
            </a:ext>
          </a:extLst>
        </xdr:cNvPr>
        <xdr:cNvGrpSpPr/>
      </xdr:nvGrpSpPr>
      <xdr:grpSpPr>
        <a:xfrm>
          <a:off x="4865915" y="1817914"/>
          <a:ext cx="2315391" cy="526729"/>
          <a:chOff x="4870269" y="1825534"/>
          <a:chExt cx="2239191" cy="526729"/>
        </a:xfrm>
      </xdr:grpSpPr>
      <xdr:sp macro="[0]!doeSubSector1" textlink="">
        <xdr:nvSpPr>
          <xdr:cNvPr id="7" name="Rectangle 6">
            <a:extLst>
              <a:ext uri="{FF2B5EF4-FFF2-40B4-BE49-F238E27FC236}">
                <a16:creationId xmlns:a16="http://schemas.microsoft.com/office/drawing/2014/main" id="{4D8D8C5E-B3E4-999E-0DF6-9CE202820EA7}"/>
              </a:ext>
            </a:extLst>
          </xdr:cNvPr>
          <xdr:cNvSpPr/>
        </xdr:nvSpPr>
        <xdr:spPr>
          <a:xfrm>
            <a:off x="4870269" y="1825534"/>
            <a:ext cx="545462" cy="526729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Copy</a:t>
            </a:r>
          </a:p>
        </xdr:txBody>
      </xdr:sp>
      <xdr:sp macro="[0]!doeSubSector2" textlink="">
        <xdr:nvSpPr>
          <xdr:cNvPr id="8" name="Rectangle 7">
            <a:extLst>
              <a:ext uri="{FF2B5EF4-FFF2-40B4-BE49-F238E27FC236}">
                <a16:creationId xmlns:a16="http://schemas.microsoft.com/office/drawing/2014/main" id="{3DAD65C1-D337-7B31-B015-0A3692AA9039}"/>
              </a:ext>
            </a:extLst>
          </xdr:cNvPr>
          <xdr:cNvSpPr/>
        </xdr:nvSpPr>
        <xdr:spPr>
          <a:xfrm>
            <a:off x="5435692" y="1825534"/>
            <a:ext cx="545462" cy="526729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Copy</a:t>
            </a:r>
          </a:p>
        </xdr:txBody>
      </xdr:sp>
      <xdr:sp macro="[0]!doeSubSector3" textlink="">
        <xdr:nvSpPr>
          <xdr:cNvPr id="9" name="Rectangle 8">
            <a:extLst>
              <a:ext uri="{FF2B5EF4-FFF2-40B4-BE49-F238E27FC236}">
                <a16:creationId xmlns:a16="http://schemas.microsoft.com/office/drawing/2014/main" id="{DD2383E2-9281-DC49-D79B-CB464A184DA6}"/>
              </a:ext>
            </a:extLst>
          </xdr:cNvPr>
          <xdr:cNvSpPr/>
        </xdr:nvSpPr>
        <xdr:spPr>
          <a:xfrm>
            <a:off x="5999845" y="1825534"/>
            <a:ext cx="545462" cy="526729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Copy</a:t>
            </a:r>
          </a:p>
        </xdr:txBody>
      </xdr:sp>
      <xdr:sp macro="[0]!doeSubSector4" textlink="">
        <xdr:nvSpPr>
          <xdr:cNvPr id="10" name="Rectangle 9">
            <a:extLst>
              <a:ext uri="{FF2B5EF4-FFF2-40B4-BE49-F238E27FC236}">
                <a16:creationId xmlns:a16="http://schemas.microsoft.com/office/drawing/2014/main" id="{F04D8543-E89B-8D83-9E01-52E35F7B6FE3}"/>
              </a:ext>
            </a:extLst>
          </xdr:cNvPr>
          <xdr:cNvSpPr/>
        </xdr:nvSpPr>
        <xdr:spPr>
          <a:xfrm>
            <a:off x="6563998" y="1825534"/>
            <a:ext cx="545462" cy="526729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Copy</a:t>
            </a: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10886</xdr:colOff>
      <xdr:row>5</xdr:row>
      <xdr:rowOff>0</xdr:rowOff>
    </xdr:from>
    <xdr:to>
      <xdr:col>7</xdr:col>
      <xdr:colOff>551906</xdr:colOff>
      <xdr:row>5</xdr:row>
      <xdr:rowOff>526729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1C0D1513-941F-4A73-B359-FE7B58D6BFD8}"/>
            </a:ext>
          </a:extLst>
        </xdr:cNvPr>
        <xdr:cNvGrpSpPr/>
      </xdr:nvGrpSpPr>
      <xdr:grpSpPr>
        <a:xfrm>
          <a:off x="4865915" y="1817914"/>
          <a:ext cx="2239191" cy="526729"/>
          <a:chOff x="4870269" y="1825534"/>
          <a:chExt cx="2239191" cy="526729"/>
        </a:xfrm>
      </xdr:grpSpPr>
      <xdr:sp macro="[0]!doeSubSector1" textlink="">
        <xdr:nvSpPr>
          <xdr:cNvPr id="7" name="Rectangle 6">
            <a:extLst>
              <a:ext uri="{FF2B5EF4-FFF2-40B4-BE49-F238E27FC236}">
                <a16:creationId xmlns:a16="http://schemas.microsoft.com/office/drawing/2014/main" id="{0B13A6C5-1E79-BFDD-6662-96FC87A14B56}"/>
              </a:ext>
            </a:extLst>
          </xdr:cNvPr>
          <xdr:cNvSpPr/>
        </xdr:nvSpPr>
        <xdr:spPr>
          <a:xfrm>
            <a:off x="4870269" y="1825534"/>
            <a:ext cx="545462" cy="526729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Copy</a:t>
            </a:r>
          </a:p>
        </xdr:txBody>
      </xdr:sp>
      <xdr:sp macro="[0]!doeSubSector2" textlink="">
        <xdr:nvSpPr>
          <xdr:cNvPr id="8" name="Rectangle 7">
            <a:extLst>
              <a:ext uri="{FF2B5EF4-FFF2-40B4-BE49-F238E27FC236}">
                <a16:creationId xmlns:a16="http://schemas.microsoft.com/office/drawing/2014/main" id="{C08E35C8-5EB7-3022-5E62-C183C38963B0}"/>
              </a:ext>
            </a:extLst>
          </xdr:cNvPr>
          <xdr:cNvSpPr/>
        </xdr:nvSpPr>
        <xdr:spPr>
          <a:xfrm>
            <a:off x="5435692" y="1825534"/>
            <a:ext cx="545462" cy="526729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Copy</a:t>
            </a:r>
          </a:p>
        </xdr:txBody>
      </xdr:sp>
      <xdr:sp macro="[0]!doeSubSector3" textlink="">
        <xdr:nvSpPr>
          <xdr:cNvPr id="9" name="Rectangle 8">
            <a:extLst>
              <a:ext uri="{FF2B5EF4-FFF2-40B4-BE49-F238E27FC236}">
                <a16:creationId xmlns:a16="http://schemas.microsoft.com/office/drawing/2014/main" id="{9B9BE5C6-3537-14D3-CBB3-7FCD293E63C3}"/>
              </a:ext>
            </a:extLst>
          </xdr:cNvPr>
          <xdr:cNvSpPr/>
        </xdr:nvSpPr>
        <xdr:spPr>
          <a:xfrm>
            <a:off x="5999845" y="1825534"/>
            <a:ext cx="545462" cy="526729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Copy</a:t>
            </a:r>
          </a:p>
        </xdr:txBody>
      </xdr:sp>
      <xdr:sp macro="[0]!doeSubSector4" textlink="">
        <xdr:nvSpPr>
          <xdr:cNvPr id="10" name="Rectangle 9">
            <a:extLst>
              <a:ext uri="{FF2B5EF4-FFF2-40B4-BE49-F238E27FC236}">
                <a16:creationId xmlns:a16="http://schemas.microsoft.com/office/drawing/2014/main" id="{35DC4732-210B-9606-B6E7-9F4D34BE5FA1}"/>
              </a:ext>
            </a:extLst>
          </xdr:cNvPr>
          <xdr:cNvSpPr/>
        </xdr:nvSpPr>
        <xdr:spPr>
          <a:xfrm>
            <a:off x="6563998" y="1825534"/>
            <a:ext cx="545462" cy="526729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Copy</a:t>
            </a: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10886</xdr:colOff>
      <xdr:row>5</xdr:row>
      <xdr:rowOff>0</xdr:rowOff>
    </xdr:from>
    <xdr:to>
      <xdr:col>7</xdr:col>
      <xdr:colOff>551906</xdr:colOff>
      <xdr:row>5</xdr:row>
      <xdr:rowOff>526729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F8683DF9-D8AE-48B8-926A-9F9DB9C45E5E}"/>
            </a:ext>
          </a:extLst>
        </xdr:cNvPr>
        <xdr:cNvGrpSpPr/>
      </xdr:nvGrpSpPr>
      <xdr:grpSpPr>
        <a:xfrm>
          <a:off x="4865915" y="1817914"/>
          <a:ext cx="2239191" cy="526729"/>
          <a:chOff x="4870269" y="1825534"/>
          <a:chExt cx="2239191" cy="526729"/>
        </a:xfrm>
      </xdr:grpSpPr>
      <xdr:sp macro="[0]!doeSubSector1" textlink="">
        <xdr:nvSpPr>
          <xdr:cNvPr id="7" name="Rectangle 6">
            <a:extLst>
              <a:ext uri="{FF2B5EF4-FFF2-40B4-BE49-F238E27FC236}">
                <a16:creationId xmlns:a16="http://schemas.microsoft.com/office/drawing/2014/main" id="{E45A29AA-4B96-C20F-AC94-CE603EA72F22}"/>
              </a:ext>
            </a:extLst>
          </xdr:cNvPr>
          <xdr:cNvSpPr/>
        </xdr:nvSpPr>
        <xdr:spPr>
          <a:xfrm>
            <a:off x="4870269" y="1825534"/>
            <a:ext cx="545462" cy="526729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Copy</a:t>
            </a:r>
          </a:p>
        </xdr:txBody>
      </xdr:sp>
      <xdr:sp macro="[0]!doeSubSector2" textlink="">
        <xdr:nvSpPr>
          <xdr:cNvPr id="8" name="Rectangle 7">
            <a:extLst>
              <a:ext uri="{FF2B5EF4-FFF2-40B4-BE49-F238E27FC236}">
                <a16:creationId xmlns:a16="http://schemas.microsoft.com/office/drawing/2014/main" id="{9567EF8E-4795-5E0B-0553-00C2FEA3B06F}"/>
              </a:ext>
            </a:extLst>
          </xdr:cNvPr>
          <xdr:cNvSpPr/>
        </xdr:nvSpPr>
        <xdr:spPr>
          <a:xfrm>
            <a:off x="5435692" y="1825534"/>
            <a:ext cx="545462" cy="526729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Copy</a:t>
            </a:r>
          </a:p>
        </xdr:txBody>
      </xdr:sp>
      <xdr:sp macro="[0]!doeSubSector3" textlink="">
        <xdr:nvSpPr>
          <xdr:cNvPr id="9" name="Rectangle 8">
            <a:extLst>
              <a:ext uri="{FF2B5EF4-FFF2-40B4-BE49-F238E27FC236}">
                <a16:creationId xmlns:a16="http://schemas.microsoft.com/office/drawing/2014/main" id="{B9E0DE75-666E-68FF-240C-344016D34273}"/>
              </a:ext>
            </a:extLst>
          </xdr:cNvPr>
          <xdr:cNvSpPr/>
        </xdr:nvSpPr>
        <xdr:spPr>
          <a:xfrm>
            <a:off x="5999845" y="1825534"/>
            <a:ext cx="545462" cy="526729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Copy</a:t>
            </a:r>
          </a:p>
        </xdr:txBody>
      </xdr:sp>
      <xdr:sp macro="[0]!doeSubSector4" textlink="">
        <xdr:nvSpPr>
          <xdr:cNvPr id="10" name="Rectangle 9">
            <a:extLst>
              <a:ext uri="{FF2B5EF4-FFF2-40B4-BE49-F238E27FC236}">
                <a16:creationId xmlns:a16="http://schemas.microsoft.com/office/drawing/2014/main" id="{B791A1C1-4515-F077-028C-DF7E6D5B87C0}"/>
              </a:ext>
            </a:extLst>
          </xdr:cNvPr>
          <xdr:cNvSpPr/>
        </xdr:nvSpPr>
        <xdr:spPr>
          <a:xfrm>
            <a:off x="6563998" y="1825534"/>
            <a:ext cx="545462" cy="526729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Copy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10886</xdr:colOff>
      <xdr:row>5</xdr:row>
      <xdr:rowOff>0</xdr:rowOff>
    </xdr:from>
    <xdr:to>
      <xdr:col>7</xdr:col>
      <xdr:colOff>551906</xdr:colOff>
      <xdr:row>5</xdr:row>
      <xdr:rowOff>526729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E2A2133C-FA6D-440E-A7A5-69260DD01B26}"/>
            </a:ext>
          </a:extLst>
        </xdr:cNvPr>
        <xdr:cNvGrpSpPr/>
      </xdr:nvGrpSpPr>
      <xdr:grpSpPr>
        <a:xfrm>
          <a:off x="4865915" y="1817914"/>
          <a:ext cx="2239191" cy="526729"/>
          <a:chOff x="4870269" y="1825534"/>
          <a:chExt cx="2239191" cy="526729"/>
        </a:xfrm>
      </xdr:grpSpPr>
      <xdr:sp macro="[0]!doeSubSector1" textlink="">
        <xdr:nvSpPr>
          <xdr:cNvPr id="7" name="Rectangle 6">
            <a:extLst>
              <a:ext uri="{FF2B5EF4-FFF2-40B4-BE49-F238E27FC236}">
                <a16:creationId xmlns:a16="http://schemas.microsoft.com/office/drawing/2014/main" id="{2104B29A-6A07-0A75-C19B-2A811D535E4F}"/>
              </a:ext>
            </a:extLst>
          </xdr:cNvPr>
          <xdr:cNvSpPr/>
        </xdr:nvSpPr>
        <xdr:spPr>
          <a:xfrm>
            <a:off x="4870269" y="1825534"/>
            <a:ext cx="545462" cy="526729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Copy</a:t>
            </a:r>
          </a:p>
        </xdr:txBody>
      </xdr:sp>
      <xdr:sp macro="[0]!doeSubSector2" textlink="">
        <xdr:nvSpPr>
          <xdr:cNvPr id="8" name="Rectangle 7">
            <a:extLst>
              <a:ext uri="{FF2B5EF4-FFF2-40B4-BE49-F238E27FC236}">
                <a16:creationId xmlns:a16="http://schemas.microsoft.com/office/drawing/2014/main" id="{F59FEE09-620D-1385-F01E-E012322A114A}"/>
              </a:ext>
            </a:extLst>
          </xdr:cNvPr>
          <xdr:cNvSpPr/>
        </xdr:nvSpPr>
        <xdr:spPr>
          <a:xfrm>
            <a:off x="5435692" y="1825534"/>
            <a:ext cx="545462" cy="526729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Copy</a:t>
            </a:r>
          </a:p>
        </xdr:txBody>
      </xdr:sp>
      <xdr:sp macro="[0]!doeSubSector3" textlink="">
        <xdr:nvSpPr>
          <xdr:cNvPr id="9" name="Rectangle 8">
            <a:extLst>
              <a:ext uri="{FF2B5EF4-FFF2-40B4-BE49-F238E27FC236}">
                <a16:creationId xmlns:a16="http://schemas.microsoft.com/office/drawing/2014/main" id="{BA717AC5-0893-BFE8-B555-EA2575D5336D}"/>
              </a:ext>
            </a:extLst>
          </xdr:cNvPr>
          <xdr:cNvSpPr/>
        </xdr:nvSpPr>
        <xdr:spPr>
          <a:xfrm>
            <a:off x="5999845" y="1825534"/>
            <a:ext cx="545462" cy="526729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Copy</a:t>
            </a:r>
          </a:p>
        </xdr:txBody>
      </xdr:sp>
      <xdr:sp macro="[0]!doeSubSector4" textlink="">
        <xdr:nvSpPr>
          <xdr:cNvPr id="10" name="Rectangle 9">
            <a:extLst>
              <a:ext uri="{FF2B5EF4-FFF2-40B4-BE49-F238E27FC236}">
                <a16:creationId xmlns:a16="http://schemas.microsoft.com/office/drawing/2014/main" id="{E2E88B21-37D8-B6C9-0D56-C134BB3F9BA4}"/>
              </a:ext>
            </a:extLst>
          </xdr:cNvPr>
          <xdr:cNvSpPr/>
        </xdr:nvSpPr>
        <xdr:spPr>
          <a:xfrm>
            <a:off x="6563998" y="1825534"/>
            <a:ext cx="545462" cy="526729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Copy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10886</xdr:colOff>
      <xdr:row>5</xdr:row>
      <xdr:rowOff>0</xdr:rowOff>
    </xdr:from>
    <xdr:to>
      <xdr:col>7</xdr:col>
      <xdr:colOff>551906</xdr:colOff>
      <xdr:row>5</xdr:row>
      <xdr:rowOff>526729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2B12256A-F442-44A7-93CF-8B15C44A639A}"/>
            </a:ext>
          </a:extLst>
        </xdr:cNvPr>
        <xdr:cNvGrpSpPr/>
      </xdr:nvGrpSpPr>
      <xdr:grpSpPr>
        <a:xfrm>
          <a:off x="4865915" y="1817914"/>
          <a:ext cx="2239191" cy="526729"/>
          <a:chOff x="4870269" y="1825534"/>
          <a:chExt cx="2239191" cy="526729"/>
        </a:xfrm>
      </xdr:grpSpPr>
      <xdr:sp macro="[0]!doeSubSector1" textlink="">
        <xdr:nvSpPr>
          <xdr:cNvPr id="7" name="Rectangle 6">
            <a:extLst>
              <a:ext uri="{FF2B5EF4-FFF2-40B4-BE49-F238E27FC236}">
                <a16:creationId xmlns:a16="http://schemas.microsoft.com/office/drawing/2014/main" id="{B9E059A1-9EC0-797A-CEF3-B1741CC1175A}"/>
              </a:ext>
            </a:extLst>
          </xdr:cNvPr>
          <xdr:cNvSpPr/>
        </xdr:nvSpPr>
        <xdr:spPr>
          <a:xfrm>
            <a:off x="4870269" y="1825534"/>
            <a:ext cx="545462" cy="526729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Copy</a:t>
            </a:r>
          </a:p>
        </xdr:txBody>
      </xdr:sp>
      <xdr:sp macro="[0]!doeSubSector2" textlink="">
        <xdr:nvSpPr>
          <xdr:cNvPr id="8" name="Rectangle 7">
            <a:extLst>
              <a:ext uri="{FF2B5EF4-FFF2-40B4-BE49-F238E27FC236}">
                <a16:creationId xmlns:a16="http://schemas.microsoft.com/office/drawing/2014/main" id="{70723D21-E827-DAF1-67F5-0E21E8BF5CE9}"/>
              </a:ext>
            </a:extLst>
          </xdr:cNvPr>
          <xdr:cNvSpPr/>
        </xdr:nvSpPr>
        <xdr:spPr>
          <a:xfrm>
            <a:off x="5435692" y="1825534"/>
            <a:ext cx="545462" cy="526729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Copy</a:t>
            </a:r>
          </a:p>
        </xdr:txBody>
      </xdr:sp>
      <xdr:sp macro="[0]!doeSubSector3" textlink="">
        <xdr:nvSpPr>
          <xdr:cNvPr id="9" name="Rectangle 8">
            <a:extLst>
              <a:ext uri="{FF2B5EF4-FFF2-40B4-BE49-F238E27FC236}">
                <a16:creationId xmlns:a16="http://schemas.microsoft.com/office/drawing/2014/main" id="{AFDBA5AD-2C44-7442-02F3-474E1033E346}"/>
              </a:ext>
            </a:extLst>
          </xdr:cNvPr>
          <xdr:cNvSpPr/>
        </xdr:nvSpPr>
        <xdr:spPr>
          <a:xfrm>
            <a:off x="5999845" y="1825534"/>
            <a:ext cx="545462" cy="526729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Copy</a:t>
            </a:r>
          </a:p>
        </xdr:txBody>
      </xdr:sp>
      <xdr:sp macro="[0]!doeSubSector4" textlink="">
        <xdr:nvSpPr>
          <xdr:cNvPr id="10" name="Rectangle 9">
            <a:extLst>
              <a:ext uri="{FF2B5EF4-FFF2-40B4-BE49-F238E27FC236}">
                <a16:creationId xmlns:a16="http://schemas.microsoft.com/office/drawing/2014/main" id="{655EE34A-904A-0004-4FE3-5E1B47CF2289}"/>
              </a:ext>
            </a:extLst>
          </xdr:cNvPr>
          <xdr:cNvSpPr/>
        </xdr:nvSpPr>
        <xdr:spPr>
          <a:xfrm>
            <a:off x="6563998" y="1825534"/>
            <a:ext cx="545462" cy="526729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Copy</a:t>
            </a: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10886</xdr:colOff>
      <xdr:row>5</xdr:row>
      <xdr:rowOff>0</xdr:rowOff>
    </xdr:from>
    <xdr:to>
      <xdr:col>7</xdr:col>
      <xdr:colOff>551906</xdr:colOff>
      <xdr:row>5</xdr:row>
      <xdr:rowOff>526729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9E74280F-B1BA-4982-ADF7-7E03C5CC8EF2}"/>
            </a:ext>
          </a:extLst>
        </xdr:cNvPr>
        <xdr:cNvGrpSpPr/>
      </xdr:nvGrpSpPr>
      <xdr:grpSpPr>
        <a:xfrm>
          <a:off x="4865915" y="1817914"/>
          <a:ext cx="2239191" cy="526729"/>
          <a:chOff x="4870269" y="1825534"/>
          <a:chExt cx="2239191" cy="526729"/>
        </a:xfrm>
      </xdr:grpSpPr>
      <xdr:sp macro="[0]!doeSubSector1" textlink="">
        <xdr:nvSpPr>
          <xdr:cNvPr id="7" name="Rectangle 6">
            <a:extLst>
              <a:ext uri="{FF2B5EF4-FFF2-40B4-BE49-F238E27FC236}">
                <a16:creationId xmlns:a16="http://schemas.microsoft.com/office/drawing/2014/main" id="{A93B46B7-EEAD-2193-3357-356EFDB517D6}"/>
              </a:ext>
            </a:extLst>
          </xdr:cNvPr>
          <xdr:cNvSpPr/>
        </xdr:nvSpPr>
        <xdr:spPr>
          <a:xfrm>
            <a:off x="4870269" y="1825534"/>
            <a:ext cx="545462" cy="526729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Copy</a:t>
            </a:r>
          </a:p>
        </xdr:txBody>
      </xdr:sp>
      <xdr:sp macro="[0]!doeSubSector2" textlink="">
        <xdr:nvSpPr>
          <xdr:cNvPr id="8" name="Rectangle 7">
            <a:extLst>
              <a:ext uri="{FF2B5EF4-FFF2-40B4-BE49-F238E27FC236}">
                <a16:creationId xmlns:a16="http://schemas.microsoft.com/office/drawing/2014/main" id="{86BF249F-7DA7-DA27-2EBB-7412CE43E84C}"/>
              </a:ext>
            </a:extLst>
          </xdr:cNvPr>
          <xdr:cNvSpPr/>
        </xdr:nvSpPr>
        <xdr:spPr>
          <a:xfrm>
            <a:off x="5435692" y="1825534"/>
            <a:ext cx="545462" cy="526729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Copy</a:t>
            </a:r>
          </a:p>
        </xdr:txBody>
      </xdr:sp>
      <xdr:sp macro="[0]!doeSubSector3" textlink="">
        <xdr:nvSpPr>
          <xdr:cNvPr id="9" name="Rectangle 8">
            <a:extLst>
              <a:ext uri="{FF2B5EF4-FFF2-40B4-BE49-F238E27FC236}">
                <a16:creationId xmlns:a16="http://schemas.microsoft.com/office/drawing/2014/main" id="{35A710C9-85BA-515A-3EE4-167A22960EC4}"/>
              </a:ext>
            </a:extLst>
          </xdr:cNvPr>
          <xdr:cNvSpPr/>
        </xdr:nvSpPr>
        <xdr:spPr>
          <a:xfrm>
            <a:off x="5999845" y="1825534"/>
            <a:ext cx="545462" cy="526729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Copy</a:t>
            </a:r>
          </a:p>
        </xdr:txBody>
      </xdr:sp>
      <xdr:sp macro="[0]!doeSubSector4" textlink="">
        <xdr:nvSpPr>
          <xdr:cNvPr id="10" name="Rectangle 9">
            <a:extLst>
              <a:ext uri="{FF2B5EF4-FFF2-40B4-BE49-F238E27FC236}">
                <a16:creationId xmlns:a16="http://schemas.microsoft.com/office/drawing/2014/main" id="{425DFC35-F584-E1A1-15DC-C55FE6BFD51D}"/>
              </a:ext>
            </a:extLst>
          </xdr:cNvPr>
          <xdr:cNvSpPr/>
        </xdr:nvSpPr>
        <xdr:spPr>
          <a:xfrm>
            <a:off x="6563998" y="1825534"/>
            <a:ext cx="545462" cy="526729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Copy</a:t>
            </a:r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10886</xdr:colOff>
      <xdr:row>5</xdr:row>
      <xdr:rowOff>0</xdr:rowOff>
    </xdr:from>
    <xdr:to>
      <xdr:col>7</xdr:col>
      <xdr:colOff>551906</xdr:colOff>
      <xdr:row>5</xdr:row>
      <xdr:rowOff>526729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BD94341D-BFF9-4375-AF02-499DD5CADC03}"/>
            </a:ext>
          </a:extLst>
        </xdr:cNvPr>
        <xdr:cNvGrpSpPr/>
      </xdr:nvGrpSpPr>
      <xdr:grpSpPr>
        <a:xfrm>
          <a:off x="4865915" y="1817914"/>
          <a:ext cx="2239191" cy="526729"/>
          <a:chOff x="4870269" y="1825534"/>
          <a:chExt cx="2239191" cy="526729"/>
        </a:xfrm>
      </xdr:grpSpPr>
      <xdr:sp macro="[0]!doeSubSector1" textlink="">
        <xdr:nvSpPr>
          <xdr:cNvPr id="7" name="Rectangle 6">
            <a:extLst>
              <a:ext uri="{FF2B5EF4-FFF2-40B4-BE49-F238E27FC236}">
                <a16:creationId xmlns:a16="http://schemas.microsoft.com/office/drawing/2014/main" id="{9F1F3DA9-68AC-F5C0-C07A-FA9492D47E0D}"/>
              </a:ext>
            </a:extLst>
          </xdr:cNvPr>
          <xdr:cNvSpPr/>
        </xdr:nvSpPr>
        <xdr:spPr>
          <a:xfrm>
            <a:off x="4870269" y="1825534"/>
            <a:ext cx="545462" cy="526729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Copy</a:t>
            </a:r>
          </a:p>
        </xdr:txBody>
      </xdr:sp>
      <xdr:sp macro="[0]!doeSubSector2" textlink="">
        <xdr:nvSpPr>
          <xdr:cNvPr id="8" name="Rectangle 7">
            <a:extLst>
              <a:ext uri="{FF2B5EF4-FFF2-40B4-BE49-F238E27FC236}">
                <a16:creationId xmlns:a16="http://schemas.microsoft.com/office/drawing/2014/main" id="{E4D61877-965C-6C91-E60A-DCE199B15F46}"/>
              </a:ext>
            </a:extLst>
          </xdr:cNvPr>
          <xdr:cNvSpPr/>
        </xdr:nvSpPr>
        <xdr:spPr>
          <a:xfrm>
            <a:off x="5435692" y="1825534"/>
            <a:ext cx="545462" cy="526729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Copy</a:t>
            </a:r>
          </a:p>
        </xdr:txBody>
      </xdr:sp>
      <xdr:sp macro="[0]!doeSubSector3" textlink="">
        <xdr:nvSpPr>
          <xdr:cNvPr id="9" name="Rectangle 8">
            <a:extLst>
              <a:ext uri="{FF2B5EF4-FFF2-40B4-BE49-F238E27FC236}">
                <a16:creationId xmlns:a16="http://schemas.microsoft.com/office/drawing/2014/main" id="{4D015961-E56E-6AA3-49C8-9CB140679D9B}"/>
              </a:ext>
            </a:extLst>
          </xdr:cNvPr>
          <xdr:cNvSpPr/>
        </xdr:nvSpPr>
        <xdr:spPr>
          <a:xfrm>
            <a:off x="5999845" y="1825534"/>
            <a:ext cx="545462" cy="526729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Copy</a:t>
            </a:r>
          </a:p>
        </xdr:txBody>
      </xdr:sp>
      <xdr:sp macro="[0]!doeSubSector4" textlink="">
        <xdr:nvSpPr>
          <xdr:cNvPr id="10" name="Rectangle 9">
            <a:extLst>
              <a:ext uri="{FF2B5EF4-FFF2-40B4-BE49-F238E27FC236}">
                <a16:creationId xmlns:a16="http://schemas.microsoft.com/office/drawing/2014/main" id="{1F87D0C9-EC7B-9261-917E-BD90666F3ACE}"/>
              </a:ext>
            </a:extLst>
          </xdr:cNvPr>
          <xdr:cNvSpPr/>
        </xdr:nvSpPr>
        <xdr:spPr>
          <a:xfrm>
            <a:off x="6563998" y="1825534"/>
            <a:ext cx="545462" cy="526729"/>
          </a:xfrm>
          <a:prstGeom prst="rect">
            <a:avLst/>
          </a:prstGeom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Copy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4D8D9-EAD6-40E9-B8A4-0B9CB6FE4161}">
  <sheetPr codeName="Sheet2"/>
  <dimension ref="A1:X37"/>
  <sheetViews>
    <sheetView tabSelected="1" topLeftCell="A10" zoomScaleNormal="100" workbookViewId="0">
      <selection activeCell="G8" sqref="G8"/>
    </sheetView>
  </sheetViews>
  <sheetFormatPr defaultColWidth="8.77734375" defaultRowHeight="22.8" x14ac:dyDescent="0.8"/>
  <cols>
    <col min="1" max="1" width="2.77734375" style="3" customWidth="1"/>
    <col min="2" max="2" width="27.88671875" style="3" customWidth="1"/>
    <col min="3" max="3" width="10.44140625" style="3" customWidth="1"/>
    <col min="4" max="4" width="10.88671875" style="3" customWidth="1"/>
    <col min="5" max="5" width="10.77734375" style="3" customWidth="1"/>
    <col min="6" max="6" width="10.5546875" style="3" customWidth="1"/>
    <col min="7" max="7" width="10.33203125" style="3" customWidth="1"/>
    <col min="8" max="8" width="9.77734375" style="3" customWidth="1"/>
    <col min="9" max="9" width="10.5546875" style="3" customWidth="1"/>
    <col min="10" max="10" width="28.109375" style="3" hidden="1" customWidth="1"/>
    <col min="11" max="16" width="11.5546875" style="3" hidden="1" customWidth="1"/>
    <col min="17" max="17" width="11.33203125" style="3" customWidth="1"/>
    <col min="18" max="18" width="11.109375" style="3" customWidth="1"/>
    <col min="19" max="19" width="11.21875" style="3" customWidth="1"/>
    <col min="20" max="20" width="9.88671875" style="3" customWidth="1"/>
    <col min="21" max="21" width="9" style="3" customWidth="1"/>
    <col min="22" max="22" width="11.6640625" style="3" customWidth="1"/>
    <col min="23" max="23" width="11.33203125" style="3" customWidth="1"/>
    <col min="24" max="24" width="12" style="3" customWidth="1"/>
    <col min="25" max="16384" width="8.77734375" style="3"/>
  </cols>
  <sheetData>
    <row r="1" spans="1:24" s="1" customFormat="1" ht="24.6" x14ac:dyDescent="0.85">
      <c r="U1" s="107" t="s">
        <v>0</v>
      </c>
      <c r="V1" s="107"/>
      <c r="W1" s="107"/>
      <c r="X1" s="107"/>
    </row>
    <row r="2" spans="1:24" s="1" customFormat="1" ht="24.6" x14ac:dyDescent="0.85">
      <c r="A2" s="1" t="s">
        <v>1</v>
      </c>
      <c r="U2" s="107" t="s">
        <v>2</v>
      </c>
      <c r="V2" s="107"/>
      <c r="W2" s="107"/>
      <c r="X2" s="107"/>
    </row>
    <row r="3" spans="1:24" s="1" customFormat="1" ht="34.049999999999997" customHeight="1" x14ac:dyDescent="0.85">
      <c r="A3" s="1" t="s">
        <v>3</v>
      </c>
    </row>
    <row r="4" spans="1:24" s="2" customFormat="1" ht="24.6" x14ac:dyDescent="0.8">
      <c r="A4" s="108" t="s">
        <v>4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</row>
    <row r="5" spans="1:24" ht="26.55" customHeight="1" x14ac:dyDescent="0.8">
      <c r="W5" s="109" t="s">
        <v>5</v>
      </c>
      <c r="X5" s="109"/>
    </row>
    <row r="6" spans="1:24" s="4" customFormat="1" ht="22.95" customHeight="1" x14ac:dyDescent="0.8">
      <c r="A6" s="110" t="s">
        <v>6</v>
      </c>
      <c r="B6" s="110" t="s">
        <v>7</v>
      </c>
      <c r="C6" s="177" t="s">
        <v>8</v>
      </c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8" t="s">
        <v>9</v>
      </c>
      <c r="S6" s="179" t="s">
        <v>10</v>
      </c>
      <c r="T6" s="179"/>
      <c r="U6" s="179"/>
      <c r="V6" s="179" t="s">
        <v>11</v>
      </c>
      <c r="W6" s="179"/>
      <c r="X6" s="179"/>
    </row>
    <row r="7" spans="1:24" s="5" customFormat="1" ht="165.45" customHeight="1" x14ac:dyDescent="0.3">
      <c r="A7" s="111"/>
      <c r="B7" s="111"/>
      <c r="C7" s="180" t="str">
        <f>'DoE01'!A3</f>
        <v>ការិយាល័យអប់រំ យុវជន និងកីឡាស្រុកបូទុមសាគរ</v>
      </c>
      <c r="D7" s="180" t="str">
        <f>'DoE02'!A3</f>
        <v>ការិយាល័យអប់រំ យុវជន និងកីឡាស្រុកគិរីសាគរ</v>
      </c>
      <c r="E7" s="180" t="str">
        <f>'DoE03'!A3</f>
        <v>ការិយាល័យអប់រំ យុវជន និងកីឡាស្រុកកោះកុង</v>
      </c>
      <c r="F7" s="180" t="str">
        <f>'DoE04'!A3</f>
        <v>ការិយាល័យអប់រំ យុវជន និងកីឡាក្រុងខេមរភូមិន្ទ</v>
      </c>
      <c r="G7" s="180" t="str">
        <f>'DoE05'!A3</f>
        <v>ការិយាល័យអប់រំ យុវជន និងកីឡាស្រុកមណ្ឌលសីមា</v>
      </c>
      <c r="H7" s="180" t="str">
        <f>'DoE06'!A3</f>
        <v>ការិយាល័យអប់រំ យុវជន និងកីឡាស្រុកស្រែអំបិល</v>
      </c>
      <c r="I7" s="180" t="str">
        <f>'DoE07'!A3</f>
        <v>ការិយាល័យអប់រំ យុវជន និងកីឡាស្រុកថ្មបាំង</v>
      </c>
      <c r="J7" s="180" t="str">
        <f>'DoE08'!A3</f>
        <v>ការិយាល័យអប់រំ យុវជន និងកីឡា..............................................................................................................</v>
      </c>
      <c r="K7" s="180" t="str">
        <f>'DoE09'!A3</f>
        <v>ការិយាល័យអប់រំ យុវជន និងកីឡា..............................................................................................................</v>
      </c>
      <c r="L7" s="180" t="str">
        <f>'DoE10'!A3</f>
        <v>ការិយាល័យអប់រំ យុវជន និងកីឡា..............................................................................................................</v>
      </c>
      <c r="M7" s="180" t="str">
        <f>'DoE11'!A3</f>
        <v>ការិយាល័យអប់រំ យុវជន និងកីឡា..............................................................................................................</v>
      </c>
      <c r="N7" s="180" t="str">
        <f>'DoE12'!A3</f>
        <v>ការិយាល័យអប់រំ យុវជន និងកីឡា..............................................................................................................</v>
      </c>
      <c r="O7" s="180" t="str">
        <f>'DoE13'!A3</f>
        <v>ការិយាល័យអប់រំ យុវជន និងកីឡា..............................................................................................................</v>
      </c>
      <c r="P7" s="180" t="str">
        <f>'DoE14'!A3</f>
        <v>ការិយាល័យអប់រំ យុវជន និងកីឡា..............................................................................................................</v>
      </c>
      <c r="Q7" s="181" t="s">
        <v>12</v>
      </c>
      <c r="R7" s="182"/>
      <c r="S7" s="183" t="s">
        <v>13</v>
      </c>
      <c r="T7" s="181" t="s">
        <v>14</v>
      </c>
      <c r="U7" s="181" t="s">
        <v>15</v>
      </c>
      <c r="V7" s="181" t="s">
        <v>14</v>
      </c>
      <c r="W7" s="181" t="s">
        <v>15</v>
      </c>
      <c r="X7" s="184" t="s">
        <v>12</v>
      </c>
    </row>
    <row r="8" spans="1:24" s="7" customFormat="1" ht="66" customHeight="1" x14ac:dyDescent="0.3">
      <c r="A8" s="112"/>
      <c r="B8" s="112"/>
      <c r="C8" s="6">
        <v>1</v>
      </c>
      <c r="D8" s="6">
        <v>2</v>
      </c>
      <c r="E8" s="6">
        <v>3</v>
      </c>
      <c r="F8" s="6">
        <v>4</v>
      </c>
      <c r="G8" s="6">
        <v>5</v>
      </c>
      <c r="H8" s="6">
        <v>6</v>
      </c>
      <c r="I8" s="6">
        <v>7</v>
      </c>
      <c r="J8" s="6">
        <v>8</v>
      </c>
      <c r="K8" s="6">
        <v>9</v>
      </c>
      <c r="L8" s="6">
        <v>10</v>
      </c>
      <c r="M8" s="6">
        <v>11</v>
      </c>
      <c r="N8" s="6">
        <v>12</v>
      </c>
      <c r="O8" s="6">
        <v>13</v>
      </c>
      <c r="P8" s="6">
        <v>14</v>
      </c>
      <c r="Q8" s="6" t="s">
        <v>16</v>
      </c>
      <c r="R8" s="6">
        <v>16</v>
      </c>
      <c r="S8" s="6" t="s">
        <v>17</v>
      </c>
      <c r="T8" s="6" t="s">
        <v>18</v>
      </c>
      <c r="U8" s="6" t="s">
        <v>19</v>
      </c>
      <c r="V8" s="6" t="s">
        <v>20</v>
      </c>
      <c r="W8" s="6" t="s">
        <v>21</v>
      </c>
      <c r="X8" s="6" t="s">
        <v>22</v>
      </c>
    </row>
    <row r="9" spans="1:24" s="10" customFormat="1" ht="36.450000000000003" customHeight="1" x14ac:dyDescent="0.3">
      <c r="A9" s="102" t="s">
        <v>23</v>
      </c>
      <c r="B9" s="103"/>
      <c r="C9" s="8">
        <f>SUM(C10,C18)</f>
        <v>4084.5</v>
      </c>
      <c r="D9" s="8">
        <f t="shared" ref="D9:X9" si="0">SUM(D10,D18)</f>
        <v>1940.4</v>
      </c>
      <c r="E9" s="8">
        <f t="shared" si="0"/>
        <v>2113.2999999999997</v>
      </c>
      <c r="F9" s="8">
        <f t="shared" si="0"/>
        <v>3047.5999999999995</v>
      </c>
      <c r="G9" s="8">
        <f t="shared" si="0"/>
        <v>2844.2000000000003</v>
      </c>
      <c r="H9" s="8">
        <f t="shared" si="0"/>
        <v>8405.9000000000015</v>
      </c>
      <c r="I9" s="8">
        <f t="shared" si="0"/>
        <v>2231.2000000000003</v>
      </c>
      <c r="J9" s="8">
        <f t="shared" si="0"/>
        <v>0</v>
      </c>
      <c r="K9" s="8">
        <f t="shared" si="0"/>
        <v>0</v>
      </c>
      <c r="L9" s="8">
        <f t="shared" si="0"/>
        <v>0</v>
      </c>
      <c r="M9" s="8">
        <f t="shared" si="0"/>
        <v>0</v>
      </c>
      <c r="N9" s="8">
        <f t="shared" si="0"/>
        <v>0</v>
      </c>
      <c r="O9" s="8">
        <f t="shared" si="0"/>
        <v>0</v>
      </c>
      <c r="P9" s="8">
        <f t="shared" si="0"/>
        <v>0</v>
      </c>
      <c r="Q9" s="8">
        <f t="shared" si="0"/>
        <v>24667.1</v>
      </c>
      <c r="R9" s="8">
        <f t="shared" si="0"/>
        <v>15938.000000000002</v>
      </c>
      <c r="S9" s="9">
        <f t="shared" si="0"/>
        <v>1</v>
      </c>
      <c r="T9" s="8">
        <f t="shared" si="0"/>
        <v>1352.6</v>
      </c>
      <c r="U9" s="8">
        <f t="shared" si="0"/>
        <v>862.20000000000016</v>
      </c>
      <c r="V9" s="8">
        <f t="shared" si="0"/>
        <v>24667.099999999995</v>
      </c>
      <c r="W9" s="8">
        <f t="shared" si="0"/>
        <v>15938.000000000004</v>
      </c>
      <c r="X9" s="8">
        <f t="shared" si="0"/>
        <v>40605.100000000006</v>
      </c>
    </row>
    <row r="10" spans="1:24" s="10" customFormat="1" ht="41.55" customHeight="1" x14ac:dyDescent="0.3">
      <c r="A10" s="104" t="s">
        <v>24</v>
      </c>
      <c r="B10" s="105"/>
      <c r="C10" s="11">
        <f>SUM(C11:C17)</f>
        <v>3872.7</v>
      </c>
      <c r="D10" s="11">
        <f t="shared" ref="D10:X10" si="1">SUM(D11:D17)</f>
        <v>1779.5000000000002</v>
      </c>
      <c r="E10" s="11">
        <f t="shared" si="1"/>
        <v>1987.3999999999999</v>
      </c>
      <c r="F10" s="11">
        <f t="shared" si="1"/>
        <v>2850.8999999999996</v>
      </c>
      <c r="G10" s="11">
        <f t="shared" si="1"/>
        <v>2652.4</v>
      </c>
      <c r="H10" s="11">
        <f t="shared" si="1"/>
        <v>8054.2000000000016</v>
      </c>
      <c r="I10" s="11">
        <f t="shared" si="1"/>
        <v>2117.4</v>
      </c>
      <c r="J10" s="11">
        <f t="shared" si="1"/>
        <v>0</v>
      </c>
      <c r="K10" s="11">
        <f t="shared" si="1"/>
        <v>0</v>
      </c>
      <c r="L10" s="11">
        <f t="shared" si="1"/>
        <v>0</v>
      </c>
      <c r="M10" s="11">
        <f t="shared" si="1"/>
        <v>0</v>
      </c>
      <c r="N10" s="11">
        <f t="shared" si="1"/>
        <v>0</v>
      </c>
      <c r="O10" s="11">
        <f t="shared" si="1"/>
        <v>0</v>
      </c>
      <c r="P10" s="11">
        <f t="shared" si="1"/>
        <v>0</v>
      </c>
      <c r="Q10" s="11">
        <f t="shared" si="1"/>
        <v>23314.5</v>
      </c>
      <c r="R10" s="11">
        <f t="shared" si="1"/>
        <v>15075.800000000001</v>
      </c>
      <c r="S10" s="12">
        <f t="shared" si="1"/>
        <v>1</v>
      </c>
      <c r="T10" s="11">
        <f t="shared" si="1"/>
        <v>1352.6</v>
      </c>
      <c r="U10" s="11">
        <f t="shared" si="1"/>
        <v>862.20000000000016</v>
      </c>
      <c r="V10" s="11">
        <f t="shared" si="1"/>
        <v>24667.099999999995</v>
      </c>
      <c r="W10" s="11">
        <f t="shared" si="1"/>
        <v>15938.000000000004</v>
      </c>
      <c r="X10" s="11">
        <f t="shared" si="1"/>
        <v>40605.100000000006</v>
      </c>
    </row>
    <row r="11" spans="1:24" ht="31.95" customHeight="1" x14ac:dyDescent="0.8">
      <c r="A11" s="13">
        <v>1</v>
      </c>
      <c r="B11" s="14" t="s">
        <v>25</v>
      </c>
      <c r="C11" s="48">
        <f>'DoE01'!$E$8</f>
        <v>0</v>
      </c>
      <c r="D11" s="48">
        <f>'DoE02'!$E$8</f>
        <v>0</v>
      </c>
      <c r="E11" s="48">
        <f>'DoE03'!$E$8</f>
        <v>0</v>
      </c>
      <c r="F11" s="48">
        <f>'DoE04'!$E$8</f>
        <v>0</v>
      </c>
      <c r="G11" s="48">
        <f>'DoE05'!$E$8</f>
        <v>0</v>
      </c>
      <c r="H11" s="48">
        <f>'DoE06'!$E$8</f>
        <v>0</v>
      </c>
      <c r="I11" s="48">
        <f>'DoE07'!$E$8</f>
        <v>0</v>
      </c>
      <c r="J11" s="48">
        <f>'DoE08'!$E$8</f>
        <v>0</v>
      </c>
      <c r="K11" s="48">
        <f>'DoE09'!$E$8</f>
        <v>0</v>
      </c>
      <c r="L11" s="48">
        <f>'DoE10'!$E$8</f>
        <v>0</v>
      </c>
      <c r="M11" s="48">
        <f>'DoE11'!$E$8</f>
        <v>0</v>
      </c>
      <c r="N11" s="48">
        <f>'DoE12'!$E$8</f>
        <v>0</v>
      </c>
      <c r="O11" s="48">
        <f>'DoE13'!$E$8</f>
        <v>0</v>
      </c>
      <c r="P11" s="48">
        <f>'DoE14'!$E$8</f>
        <v>0</v>
      </c>
      <c r="Q11" s="15">
        <f>SUM(C11:P11)</f>
        <v>0</v>
      </c>
      <c r="R11" s="48">
        <f>PoE!$E$8</f>
        <v>136.09999999999997</v>
      </c>
      <c r="S11" s="16">
        <f>SUM(Q11,R11)/SUM($Q$10,$R$10)</f>
        <v>3.5451663571266687E-3</v>
      </c>
      <c r="T11" s="15">
        <f>S11*$Q$18</f>
        <v>4.7951920146495315</v>
      </c>
      <c r="U11" s="15">
        <f>S11*$R$18</f>
        <v>3.056642433114614</v>
      </c>
      <c r="V11" s="15">
        <f>SUM(Q11,T11)</f>
        <v>4.7951920146495315</v>
      </c>
      <c r="W11" s="15">
        <f>SUM(R11,U11)</f>
        <v>139.15664243311457</v>
      </c>
      <c r="X11" s="15">
        <f>SUM(V11,W11)</f>
        <v>143.9518344477641</v>
      </c>
    </row>
    <row r="12" spans="1:24" ht="31.95" customHeight="1" x14ac:dyDescent="0.8">
      <c r="A12" s="13">
        <v>2</v>
      </c>
      <c r="B12" s="14" t="s">
        <v>26</v>
      </c>
      <c r="C12" s="48">
        <f>'DoE01'!$F$8</f>
        <v>3815.2999999999997</v>
      </c>
      <c r="D12" s="48">
        <f>'DoE02'!$F$8</f>
        <v>1707.5000000000002</v>
      </c>
      <c r="E12" s="48">
        <f>'DoE03'!$F$8</f>
        <v>1966.8999999999999</v>
      </c>
      <c r="F12" s="48">
        <f>'DoE04'!$F$8</f>
        <v>2790.4999999999995</v>
      </c>
      <c r="G12" s="48">
        <f>'DoE05'!$F$8</f>
        <v>2573.5</v>
      </c>
      <c r="H12" s="48">
        <f>'DoE06'!$F$8</f>
        <v>7992.2000000000016</v>
      </c>
      <c r="I12" s="48">
        <f>'DoE07'!$F$8</f>
        <v>2077.6</v>
      </c>
      <c r="J12" s="48">
        <f>'DoE08'!$F$8</f>
        <v>0</v>
      </c>
      <c r="K12" s="48">
        <f>'DoE09'!$F$8</f>
        <v>0</v>
      </c>
      <c r="L12" s="48">
        <f>'DoE10'!$F$8</f>
        <v>0</v>
      </c>
      <c r="M12" s="48">
        <f>'DoE11'!$F$8</f>
        <v>0</v>
      </c>
      <c r="N12" s="48">
        <f>'DoE12'!$F$8</f>
        <v>0</v>
      </c>
      <c r="O12" s="48">
        <f>'DoE13'!$F$8</f>
        <v>0</v>
      </c>
      <c r="P12" s="48">
        <f>'DoE14'!$F$8</f>
        <v>0</v>
      </c>
      <c r="Q12" s="15">
        <f t="shared" ref="Q12:Q18" si="2">SUM(C12:P12)</f>
        <v>22923.5</v>
      </c>
      <c r="R12" s="48">
        <f>PoE!$F$8</f>
        <v>183.9</v>
      </c>
      <c r="S12" s="16">
        <f t="shared" ref="S12:S17" si="3">SUM(Q12,R12)/SUM($Q$10,$R$10)</f>
        <v>0.60190725261329037</v>
      </c>
      <c r="T12" s="15">
        <f t="shared" ref="T12:T17" si="4">S12*$Q$18</f>
        <v>814.13974988473649</v>
      </c>
      <c r="U12" s="15">
        <f t="shared" ref="U12:U17" si="5">S12*$R$18</f>
        <v>518.96443320317894</v>
      </c>
      <c r="V12" s="15">
        <f t="shared" ref="V12:W17" si="6">SUM(Q12,T12)</f>
        <v>23737.639749884736</v>
      </c>
      <c r="W12" s="15">
        <f t="shared" si="6"/>
        <v>702.86443320317892</v>
      </c>
      <c r="X12" s="15">
        <f t="shared" ref="X12:X17" si="7">SUM(V12,W12)</f>
        <v>24440.504183087916</v>
      </c>
    </row>
    <row r="13" spans="1:24" ht="52.05" customHeight="1" x14ac:dyDescent="0.8">
      <c r="A13" s="13">
        <v>3</v>
      </c>
      <c r="B13" s="14" t="s">
        <v>27</v>
      </c>
      <c r="C13" s="99"/>
      <c r="D13" s="99"/>
      <c r="E13" s="99"/>
      <c r="F13" s="99"/>
      <c r="G13" s="99"/>
      <c r="H13" s="99"/>
      <c r="I13" s="99"/>
      <c r="J13" s="99"/>
      <c r="K13" s="99"/>
      <c r="L13" s="99"/>
      <c r="M13" s="99"/>
      <c r="N13" s="99"/>
      <c r="O13" s="99"/>
      <c r="P13" s="99"/>
      <c r="Q13" s="15">
        <f t="shared" si="2"/>
        <v>0</v>
      </c>
      <c r="R13" s="48">
        <f>PoE!$G$8</f>
        <v>14482.000000000002</v>
      </c>
      <c r="S13" s="16">
        <f t="shared" si="3"/>
        <v>0.37723070671497749</v>
      </c>
      <c r="T13" s="15">
        <f t="shared" si="4"/>
        <v>510.2422539026785</v>
      </c>
      <c r="U13" s="15">
        <f t="shared" si="5"/>
        <v>325.24831532965362</v>
      </c>
      <c r="V13" s="15">
        <f t="shared" si="6"/>
        <v>510.2422539026785</v>
      </c>
      <c r="W13" s="15">
        <f t="shared" si="6"/>
        <v>14807.248315329656</v>
      </c>
      <c r="X13" s="15">
        <f t="shared" si="7"/>
        <v>15317.490569232335</v>
      </c>
    </row>
    <row r="14" spans="1:24" ht="31.95" customHeight="1" x14ac:dyDescent="0.8">
      <c r="A14" s="13">
        <v>4</v>
      </c>
      <c r="B14" s="14" t="s">
        <v>28</v>
      </c>
      <c r="C14" s="99"/>
      <c r="D14" s="99"/>
      <c r="E14" s="99"/>
      <c r="F14" s="99"/>
      <c r="G14" s="99"/>
      <c r="H14" s="99"/>
      <c r="I14" s="99"/>
      <c r="J14" s="99"/>
      <c r="K14" s="99"/>
      <c r="L14" s="99"/>
      <c r="M14" s="99"/>
      <c r="N14" s="99"/>
      <c r="O14" s="99"/>
      <c r="P14" s="99"/>
      <c r="Q14" s="15">
        <f t="shared" si="2"/>
        <v>0</v>
      </c>
      <c r="R14" s="15">
        <f>PoE!$H$8</f>
        <v>0</v>
      </c>
      <c r="S14" s="16">
        <f t="shared" si="3"/>
        <v>0</v>
      </c>
      <c r="T14" s="15">
        <f t="shared" si="4"/>
        <v>0</v>
      </c>
      <c r="U14" s="15">
        <f t="shared" si="5"/>
        <v>0</v>
      </c>
      <c r="V14" s="15">
        <f t="shared" si="6"/>
        <v>0</v>
      </c>
      <c r="W14" s="15">
        <f t="shared" si="6"/>
        <v>0</v>
      </c>
      <c r="X14" s="15">
        <f t="shared" si="7"/>
        <v>0</v>
      </c>
    </row>
    <row r="15" spans="1:24" ht="31.95" customHeight="1" x14ac:dyDescent="0.8">
      <c r="A15" s="13">
        <v>5</v>
      </c>
      <c r="B15" s="14" t="s">
        <v>29</v>
      </c>
      <c r="C15" s="48">
        <f>'DoE01'!$G$8</f>
        <v>57.4</v>
      </c>
      <c r="D15" s="48">
        <f>'DoE02'!$G$8</f>
        <v>72</v>
      </c>
      <c r="E15" s="48">
        <f>'DoE03'!$G$8</f>
        <v>20.500000000000004</v>
      </c>
      <c r="F15" s="48">
        <f>'DoE04'!$G$8</f>
        <v>60.4</v>
      </c>
      <c r="G15" s="48">
        <f>'DoE05'!$G$8</f>
        <v>78.899999999999991</v>
      </c>
      <c r="H15" s="48">
        <f>'DoE06'!$G$8</f>
        <v>62</v>
      </c>
      <c r="I15" s="48">
        <f>'DoE07'!$G$8</f>
        <v>39.800000000000004</v>
      </c>
      <c r="J15" s="48">
        <f>'DoE08'!$G$8</f>
        <v>0</v>
      </c>
      <c r="K15" s="48">
        <f>'DoE09'!$G$8</f>
        <v>0</v>
      </c>
      <c r="L15" s="48">
        <f>'DoE10'!$G$8</f>
        <v>0</v>
      </c>
      <c r="M15" s="48">
        <f>'DoE11'!$G$8</f>
        <v>0</v>
      </c>
      <c r="N15" s="48">
        <f>'DoE12'!$G$8</f>
        <v>0</v>
      </c>
      <c r="O15" s="48">
        <f>'DoE13'!$G$8</f>
        <v>0</v>
      </c>
      <c r="P15" s="48">
        <f>'DoE14'!$G$8</f>
        <v>0</v>
      </c>
      <c r="Q15" s="15">
        <f t="shared" si="2"/>
        <v>391</v>
      </c>
      <c r="R15" s="48">
        <f>PoE!$I$8</f>
        <v>91</v>
      </c>
      <c r="S15" s="16">
        <f t="shared" si="3"/>
        <v>1.255525484302024E-2</v>
      </c>
      <c r="T15" s="15">
        <f t="shared" si="4"/>
        <v>16.982237700669177</v>
      </c>
      <c r="U15" s="15">
        <f t="shared" si="5"/>
        <v>10.825140725652052</v>
      </c>
      <c r="V15" s="15">
        <f t="shared" si="6"/>
        <v>407.9822377006692</v>
      </c>
      <c r="W15" s="15">
        <f t="shared" si="6"/>
        <v>101.82514072565205</v>
      </c>
      <c r="X15" s="15">
        <f t="shared" si="7"/>
        <v>509.80737842632124</v>
      </c>
    </row>
    <row r="16" spans="1:24" ht="31.95" customHeight="1" x14ac:dyDescent="0.8">
      <c r="A16" s="13">
        <v>6</v>
      </c>
      <c r="B16" s="14" t="s">
        <v>30</v>
      </c>
      <c r="C16" s="99"/>
      <c r="D16" s="99"/>
      <c r="E16" s="99"/>
      <c r="F16" s="99"/>
      <c r="G16" s="99"/>
      <c r="H16" s="99"/>
      <c r="I16" s="99"/>
      <c r="J16" s="99"/>
      <c r="K16" s="99"/>
      <c r="L16" s="99"/>
      <c r="M16" s="99"/>
      <c r="N16" s="99"/>
      <c r="O16" s="99"/>
      <c r="P16" s="99"/>
      <c r="Q16" s="15">
        <f t="shared" si="2"/>
        <v>0</v>
      </c>
      <c r="R16" s="48">
        <f>PoE!$J$8</f>
        <v>0</v>
      </c>
      <c r="S16" s="16">
        <f t="shared" si="3"/>
        <v>0</v>
      </c>
      <c r="T16" s="15">
        <f t="shared" si="4"/>
        <v>0</v>
      </c>
      <c r="U16" s="15">
        <f t="shared" si="5"/>
        <v>0</v>
      </c>
      <c r="V16" s="15">
        <f t="shared" si="6"/>
        <v>0</v>
      </c>
      <c r="W16" s="15">
        <f t="shared" si="6"/>
        <v>0</v>
      </c>
      <c r="X16" s="15">
        <f t="shared" si="7"/>
        <v>0</v>
      </c>
    </row>
    <row r="17" spans="1:24" ht="31.95" customHeight="1" x14ac:dyDescent="0.8">
      <c r="A17" s="13">
        <v>7</v>
      </c>
      <c r="B17" s="14" t="s">
        <v>31</v>
      </c>
      <c r="C17" s="99"/>
      <c r="D17" s="99"/>
      <c r="E17" s="99"/>
      <c r="F17" s="99"/>
      <c r="G17" s="99"/>
      <c r="H17" s="99"/>
      <c r="I17" s="99"/>
      <c r="J17" s="99"/>
      <c r="K17" s="99"/>
      <c r="L17" s="99"/>
      <c r="M17" s="99"/>
      <c r="N17" s="99"/>
      <c r="O17" s="99"/>
      <c r="P17" s="99"/>
      <c r="Q17" s="15">
        <f t="shared" si="2"/>
        <v>0</v>
      </c>
      <c r="R17" s="48">
        <f>PoE!$K$8</f>
        <v>182.79999999999998</v>
      </c>
      <c r="S17" s="16">
        <f t="shared" si="3"/>
        <v>4.761619471585269E-3</v>
      </c>
      <c r="T17" s="15">
        <f t="shared" si="4"/>
        <v>6.4405664972662349</v>
      </c>
      <c r="U17" s="15">
        <f t="shared" si="5"/>
        <v>4.1054683084008188</v>
      </c>
      <c r="V17" s="15">
        <f t="shared" si="6"/>
        <v>6.4405664972662349</v>
      </c>
      <c r="W17" s="15">
        <f t="shared" si="6"/>
        <v>186.9054683084008</v>
      </c>
      <c r="X17" s="15">
        <f t="shared" si="7"/>
        <v>193.34603480566705</v>
      </c>
    </row>
    <row r="18" spans="1:24" s="19" customFormat="1" ht="45.45" customHeight="1" x14ac:dyDescent="0.8">
      <c r="A18" s="104" t="s">
        <v>32</v>
      </c>
      <c r="B18" s="105"/>
      <c r="C18" s="100">
        <f>'DoE01'!$H$8</f>
        <v>211.79999999999998</v>
      </c>
      <c r="D18" s="100">
        <f>'DoE02'!$H$8</f>
        <v>160.89999999999995</v>
      </c>
      <c r="E18" s="100">
        <f>'DoE03'!$H$8</f>
        <v>125.9</v>
      </c>
      <c r="F18" s="100">
        <f>'DoE04'!$H$8</f>
        <v>196.7</v>
      </c>
      <c r="G18" s="100">
        <f>'DoE05'!$H$8</f>
        <v>191.8</v>
      </c>
      <c r="H18" s="100">
        <f>'DoE06'!$H$8</f>
        <v>351.7</v>
      </c>
      <c r="I18" s="100">
        <f>'DoE07'!$H$8</f>
        <v>113.80000000000001</v>
      </c>
      <c r="J18" s="100">
        <f>'DoE08'!$H$8</f>
        <v>0</v>
      </c>
      <c r="K18" s="100">
        <f>'DoE09'!$H$8</f>
        <v>0</v>
      </c>
      <c r="L18" s="100">
        <f>'DoE10'!$H$8</f>
        <v>0</v>
      </c>
      <c r="M18" s="100">
        <f>'DoE11'!$H$8</f>
        <v>0</v>
      </c>
      <c r="N18" s="100">
        <f>'DoE12'!$H$8</f>
        <v>0</v>
      </c>
      <c r="O18" s="100">
        <f>'DoE13'!$H$8</f>
        <v>0</v>
      </c>
      <c r="P18" s="100">
        <f>'DoE14'!$H$8</f>
        <v>0</v>
      </c>
      <c r="Q18" s="17">
        <f t="shared" si="2"/>
        <v>1352.6</v>
      </c>
      <c r="R18" s="17">
        <f>PoE!$L$8</f>
        <v>862.2</v>
      </c>
      <c r="S18" s="18"/>
      <c r="T18" s="17"/>
      <c r="U18" s="17"/>
      <c r="V18" s="17"/>
      <c r="W18" s="17"/>
      <c r="X18" s="17"/>
    </row>
    <row r="20" spans="1:24" s="2" customFormat="1" x14ac:dyDescent="0.8">
      <c r="S20" s="106" t="s">
        <v>33</v>
      </c>
      <c r="T20" s="106"/>
      <c r="U20" s="106"/>
      <c r="V20" s="106"/>
      <c r="W20" s="106"/>
      <c r="X20" s="106"/>
    </row>
    <row r="21" spans="1:24" s="2" customFormat="1" x14ac:dyDescent="0.8">
      <c r="A21" s="20"/>
      <c r="B21" s="20"/>
      <c r="C21" s="20"/>
      <c r="D21" s="20"/>
      <c r="E21" s="20"/>
      <c r="F21" s="20"/>
      <c r="G21" s="20"/>
      <c r="H21" s="20"/>
      <c r="I21" s="101" t="s">
        <v>34</v>
      </c>
      <c r="J21" s="101"/>
      <c r="K21" s="101"/>
      <c r="L21" s="101"/>
      <c r="M21" s="101"/>
      <c r="N21" s="101"/>
      <c r="O21" s="101"/>
      <c r="P21" s="101"/>
      <c r="Q21" s="101"/>
      <c r="S21" s="106" t="s">
        <v>35</v>
      </c>
      <c r="T21" s="106"/>
      <c r="U21" s="106"/>
      <c r="V21" s="106"/>
      <c r="W21" s="106"/>
      <c r="X21" s="106"/>
    </row>
    <row r="22" spans="1:24" s="2" customFormat="1" x14ac:dyDescent="0.8">
      <c r="A22" s="101" t="s">
        <v>36</v>
      </c>
      <c r="B22" s="101"/>
      <c r="C22" s="101"/>
      <c r="D22" s="101"/>
      <c r="E22" s="101"/>
      <c r="F22" s="101"/>
      <c r="G22" s="20"/>
      <c r="H22" s="20"/>
      <c r="I22" s="101" t="s">
        <v>37</v>
      </c>
      <c r="J22" s="101"/>
      <c r="K22" s="101"/>
      <c r="L22" s="101"/>
      <c r="M22" s="101"/>
      <c r="N22" s="101"/>
      <c r="O22" s="101"/>
      <c r="P22" s="101"/>
      <c r="Q22" s="101"/>
    </row>
    <row r="23" spans="1:24" s="2" customFormat="1" x14ac:dyDescent="0.8">
      <c r="A23" s="101" t="s">
        <v>38</v>
      </c>
      <c r="B23" s="101"/>
      <c r="C23" s="101"/>
      <c r="D23" s="101"/>
      <c r="E23" s="101"/>
      <c r="F23" s="101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</row>
    <row r="24" spans="1:24" s="2" customFormat="1" x14ac:dyDescent="0.8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</row>
    <row r="25" spans="1:24" s="2" customFormat="1" x14ac:dyDescent="0.8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</row>
    <row r="26" spans="1:24" s="2" customFormat="1" x14ac:dyDescent="0.8"/>
    <row r="27" spans="1:24" s="2" customFormat="1" x14ac:dyDescent="0.8"/>
    <row r="28" spans="1:24" s="2" customFormat="1" x14ac:dyDescent="0.8"/>
    <row r="29" spans="1:24" s="2" customFormat="1" x14ac:dyDescent="0.8"/>
    <row r="30" spans="1:24" s="2" customFormat="1" x14ac:dyDescent="0.8"/>
    <row r="31" spans="1:24" s="2" customFormat="1" x14ac:dyDescent="0.8"/>
    <row r="32" spans="1:24" s="2" customFormat="1" x14ac:dyDescent="0.8"/>
    <row r="33" s="2" customFormat="1" x14ac:dyDescent="0.8"/>
    <row r="34" s="2" customFormat="1" x14ac:dyDescent="0.8"/>
    <row r="35" s="2" customFormat="1" x14ac:dyDescent="0.8"/>
    <row r="36" s="2" customFormat="1" x14ac:dyDescent="0.8"/>
    <row r="37" s="2" customFormat="1" x14ac:dyDescent="0.8"/>
  </sheetData>
  <sheetProtection algorithmName="SHA-512" hashValue="rpZuEHQH9jX2WQXpS0wklFrIW3IZmbWRKmdeE1pCGuuumBSS9D4D80nsaVe+SRC/96vAPRuCETkGMOgeEBe2fQ==" saltValue="5XYydgAuWfysY1QP6tWQIw==" spinCount="100000" sheet="1" formatCells="0" formatColumns="0" formatRows="0" sort="0" autoFilter="0" pivotTables="0"/>
  <mergeCells count="19">
    <mergeCell ref="S20:X20"/>
    <mergeCell ref="I21:Q21"/>
    <mergeCell ref="S21:X21"/>
    <mergeCell ref="U1:X1"/>
    <mergeCell ref="U2:X2"/>
    <mergeCell ref="A4:X4"/>
    <mergeCell ref="W5:X5"/>
    <mergeCell ref="A6:A8"/>
    <mergeCell ref="B6:B8"/>
    <mergeCell ref="C6:Q6"/>
    <mergeCell ref="R6:R7"/>
    <mergeCell ref="S6:U6"/>
    <mergeCell ref="V6:X6"/>
    <mergeCell ref="A22:F22"/>
    <mergeCell ref="I22:Q22"/>
    <mergeCell ref="A23:F23"/>
    <mergeCell ref="A9:B9"/>
    <mergeCell ref="A10:B10"/>
    <mergeCell ref="A18:B18"/>
  </mergeCells>
  <pageMargins left="0" right="0" top="0.35433070866141736" bottom="0.15748031496062992" header="0.31496062992125984" footer="0.31496062992125984"/>
  <pageSetup scale="70" orientation="landscape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944FB-C1C6-4D7A-B58C-B27BFA1ED527}">
  <sheetPr codeName="Sheet1"/>
  <dimension ref="A1:AB60"/>
  <sheetViews>
    <sheetView topLeftCell="A8" zoomScale="80" zoomScaleNormal="80" workbookViewId="0">
      <selection activeCell="AF47" sqref="AE47:AF47"/>
    </sheetView>
  </sheetViews>
  <sheetFormatPr defaultRowHeight="14.4" x14ac:dyDescent="0.3"/>
  <cols>
    <col min="1" max="1" width="5.33203125" customWidth="1"/>
    <col min="2" max="2" width="6.5546875" customWidth="1"/>
    <col min="3" max="3" width="7.77734375" customWidth="1"/>
    <col min="4" max="4" width="31.109375" customWidth="1"/>
    <col min="5" max="6" width="6.44140625" customWidth="1"/>
    <col min="7" max="7" width="8.44140625" customWidth="1"/>
    <col min="8" max="8" width="8.21875" hidden="1" customWidth="1"/>
    <col min="9" max="9" width="5.6640625" customWidth="1"/>
    <col min="10" max="10" width="8.21875" hidden="1" customWidth="1"/>
    <col min="11" max="11" width="6.77734375" customWidth="1"/>
    <col min="12" max="12" width="6.44140625" customWidth="1"/>
    <col min="13" max="13" width="4.88671875" customWidth="1"/>
    <col min="14" max="14" width="6.44140625" customWidth="1"/>
    <col min="15" max="15" width="7" customWidth="1"/>
    <col min="16" max="16" width="8.77734375" hidden="1" customWidth="1"/>
    <col min="17" max="17" width="5.88671875" customWidth="1"/>
    <col min="18" max="18" width="4.88671875" customWidth="1"/>
    <col min="19" max="19" width="6.109375" customWidth="1"/>
    <col min="20" max="20" width="9.21875" customWidth="1"/>
    <col min="21" max="21" width="6.6640625" customWidth="1"/>
    <col min="22" max="22" width="7.109375" customWidth="1"/>
    <col min="23" max="23" width="7.33203125" customWidth="1"/>
    <col min="24" max="24" width="6.21875" customWidth="1"/>
    <col min="25" max="25" width="4.88671875" customWidth="1"/>
    <col min="26" max="26" width="7.44140625" customWidth="1"/>
    <col min="27" max="27" width="7.88671875" customWidth="1"/>
    <col min="43" max="49" width="0" hidden="1" customWidth="1"/>
  </cols>
  <sheetData>
    <row r="1" spans="1:28" ht="21.45" customHeight="1" x14ac:dyDescent="0.3"/>
    <row r="2" spans="1:28" ht="21.45" customHeight="1" x14ac:dyDescent="0.3"/>
    <row r="3" spans="1:28" ht="21.45" customHeight="1" thickBot="1" x14ac:dyDescent="0.35"/>
    <row r="4" spans="1:28" ht="28.95" customHeight="1" x14ac:dyDescent="0.3">
      <c r="A4" s="123" t="s">
        <v>39</v>
      </c>
      <c r="B4" s="121" t="s">
        <v>40</v>
      </c>
      <c r="C4" s="121" t="s">
        <v>41</v>
      </c>
      <c r="D4" s="119" t="s">
        <v>42</v>
      </c>
      <c r="E4" s="125" t="s">
        <v>97</v>
      </c>
      <c r="F4" s="126"/>
      <c r="G4" s="126"/>
      <c r="H4" s="126"/>
      <c r="I4" s="126"/>
      <c r="J4" s="126"/>
      <c r="K4" s="126"/>
      <c r="L4" s="127"/>
      <c r="M4" s="128" t="s">
        <v>94</v>
      </c>
      <c r="N4" s="129"/>
      <c r="O4" s="129"/>
      <c r="P4" s="129"/>
      <c r="Q4" s="129"/>
      <c r="R4" s="129"/>
      <c r="S4" s="130"/>
      <c r="T4" s="113" t="s">
        <v>96</v>
      </c>
      <c r="U4" s="114"/>
      <c r="V4" s="114"/>
      <c r="W4" s="114"/>
      <c r="X4" s="114"/>
      <c r="Y4" s="114"/>
      <c r="Z4" s="114"/>
      <c r="AA4" s="114"/>
      <c r="AB4" s="115"/>
    </row>
    <row r="5" spans="1:28" ht="32.549999999999997" customHeight="1" x14ac:dyDescent="0.8">
      <c r="A5" s="124"/>
      <c r="B5" s="122"/>
      <c r="C5" s="122"/>
      <c r="D5" s="120"/>
      <c r="E5" s="45"/>
      <c r="F5" s="46"/>
      <c r="G5" s="46"/>
      <c r="H5" s="46"/>
      <c r="I5" s="46"/>
      <c r="J5" s="46"/>
      <c r="K5" s="46"/>
      <c r="L5" s="47"/>
      <c r="M5" s="131"/>
      <c r="N5" s="132"/>
      <c r="O5" s="132"/>
      <c r="P5" s="132"/>
      <c r="Q5" s="132"/>
      <c r="R5" s="132"/>
      <c r="S5" s="133"/>
      <c r="T5" s="116"/>
      <c r="U5" s="117"/>
      <c r="V5" s="117"/>
      <c r="W5" s="117"/>
      <c r="X5" s="117"/>
      <c r="Y5" s="117"/>
      <c r="Z5" s="117"/>
      <c r="AA5" s="117"/>
      <c r="AB5" s="118"/>
    </row>
    <row r="6" spans="1:28" ht="54.45" customHeight="1" x14ac:dyDescent="0.3">
      <c r="A6" s="124"/>
      <c r="B6" s="122"/>
      <c r="C6" s="122"/>
      <c r="D6" s="120"/>
      <c r="E6" s="155" t="s">
        <v>25</v>
      </c>
      <c r="F6" s="156" t="s">
        <v>26</v>
      </c>
      <c r="G6" s="156" t="s">
        <v>27</v>
      </c>
      <c r="H6" s="156" t="s">
        <v>28</v>
      </c>
      <c r="I6" s="156" t="s">
        <v>29</v>
      </c>
      <c r="J6" s="156" t="s">
        <v>30</v>
      </c>
      <c r="K6" s="156" t="s">
        <v>31</v>
      </c>
      <c r="L6" s="157" t="s">
        <v>91</v>
      </c>
      <c r="M6" s="158" t="s">
        <v>25</v>
      </c>
      <c r="N6" s="159" t="s">
        <v>26</v>
      </c>
      <c r="O6" s="159" t="s">
        <v>27</v>
      </c>
      <c r="P6" s="159" t="s">
        <v>28</v>
      </c>
      <c r="Q6" s="159" t="s">
        <v>29</v>
      </c>
      <c r="R6" s="159" t="s">
        <v>30</v>
      </c>
      <c r="S6" s="160" t="s">
        <v>31</v>
      </c>
      <c r="T6" s="161" t="s">
        <v>92</v>
      </c>
      <c r="U6" s="162" t="s">
        <v>93</v>
      </c>
      <c r="V6" s="163"/>
      <c r="W6" s="163"/>
      <c r="X6" s="163"/>
      <c r="Y6" s="163"/>
      <c r="Z6" s="163"/>
      <c r="AA6" s="164"/>
      <c r="AB6" s="165" t="s">
        <v>12</v>
      </c>
    </row>
    <row r="7" spans="1:28" ht="108.45" customHeight="1" thickBot="1" x14ac:dyDescent="0.35">
      <c r="A7" s="73"/>
      <c r="B7" s="72"/>
      <c r="C7" s="72"/>
      <c r="D7" s="71"/>
      <c r="E7" s="166"/>
      <c r="F7" s="167"/>
      <c r="G7" s="167"/>
      <c r="H7" s="167"/>
      <c r="I7" s="167"/>
      <c r="J7" s="167"/>
      <c r="K7" s="167"/>
      <c r="L7" s="168"/>
      <c r="M7" s="169"/>
      <c r="N7" s="170"/>
      <c r="O7" s="170"/>
      <c r="P7" s="170"/>
      <c r="Q7" s="170"/>
      <c r="R7" s="170"/>
      <c r="S7" s="171"/>
      <c r="T7" s="172" t="s">
        <v>27</v>
      </c>
      <c r="U7" s="173" t="s">
        <v>25</v>
      </c>
      <c r="V7" s="174" t="s">
        <v>26</v>
      </c>
      <c r="W7" s="174" t="s">
        <v>27</v>
      </c>
      <c r="X7" s="174" t="s">
        <v>29</v>
      </c>
      <c r="Y7" s="174" t="s">
        <v>30</v>
      </c>
      <c r="Z7" s="174" t="s">
        <v>31</v>
      </c>
      <c r="AA7" s="175" t="s">
        <v>12</v>
      </c>
      <c r="AB7" s="176"/>
    </row>
    <row r="8" spans="1:28" ht="19.95" customHeight="1" x14ac:dyDescent="0.3">
      <c r="A8" s="50">
        <v>64</v>
      </c>
      <c r="B8" s="32"/>
      <c r="C8" s="32"/>
      <c r="D8" s="33" t="s">
        <v>43</v>
      </c>
      <c r="E8" s="37">
        <f>SUM(E9,E18,E27,E33,E37,E45,E50,E59)</f>
        <v>136.09999999999997</v>
      </c>
      <c r="F8" s="34">
        <f t="shared" ref="F8:AB8" si="0">SUM(F9,F18,F27,F33,F37,F45,F50,F59)</f>
        <v>183.9</v>
      </c>
      <c r="G8" s="34">
        <f t="shared" si="0"/>
        <v>14482.000000000002</v>
      </c>
      <c r="H8" s="34">
        <f t="shared" si="0"/>
        <v>0</v>
      </c>
      <c r="I8" s="34">
        <f t="shared" si="0"/>
        <v>91</v>
      </c>
      <c r="J8" s="34">
        <f t="shared" si="0"/>
        <v>0</v>
      </c>
      <c r="K8" s="34">
        <f t="shared" si="0"/>
        <v>182.79999999999998</v>
      </c>
      <c r="L8" s="38">
        <f t="shared" si="0"/>
        <v>862.2</v>
      </c>
      <c r="M8" s="35">
        <f t="shared" si="0"/>
        <v>3.056642433114614</v>
      </c>
      <c r="N8" s="34">
        <f t="shared" si="0"/>
        <v>518.96443320317894</v>
      </c>
      <c r="O8" s="34">
        <f t="shared" si="0"/>
        <v>325.24831532965362</v>
      </c>
      <c r="P8" s="34">
        <f t="shared" si="0"/>
        <v>0</v>
      </c>
      <c r="Q8" s="34">
        <f t="shared" si="0"/>
        <v>10.825140725652053</v>
      </c>
      <c r="R8" s="34">
        <f t="shared" si="0"/>
        <v>0</v>
      </c>
      <c r="S8" s="64">
        <f t="shared" si="0"/>
        <v>4.1054683084008188</v>
      </c>
      <c r="T8" s="83">
        <f t="shared" ref="T8:AA8" si="1">SUM(T9,T18,T27,T33,T37,T45,T50,T59)</f>
        <v>14482.000000000002</v>
      </c>
      <c r="U8" s="86">
        <f t="shared" si="1"/>
        <v>139.69999999999999</v>
      </c>
      <c r="V8" s="34">
        <f t="shared" si="1"/>
        <v>703.30000000000007</v>
      </c>
      <c r="W8" s="34">
        <f t="shared" si="1"/>
        <v>325.79999999999995</v>
      </c>
      <c r="X8" s="34">
        <f t="shared" si="1"/>
        <v>102.2</v>
      </c>
      <c r="Y8" s="34">
        <f t="shared" si="1"/>
        <v>0</v>
      </c>
      <c r="Z8" s="34">
        <f t="shared" si="1"/>
        <v>187.5</v>
      </c>
      <c r="AA8" s="93">
        <f t="shared" si="1"/>
        <v>1458.5</v>
      </c>
      <c r="AB8" s="89">
        <f t="shared" si="0"/>
        <v>15940.5</v>
      </c>
    </row>
    <row r="9" spans="1:28" ht="19.95" hidden="1" customHeight="1" x14ac:dyDescent="0.3">
      <c r="A9" s="51"/>
      <c r="B9" s="23">
        <v>6401</v>
      </c>
      <c r="C9" s="23"/>
      <c r="D9" s="21" t="s">
        <v>90</v>
      </c>
      <c r="E9" s="39">
        <f>SUM(E10:E17)</f>
        <v>0</v>
      </c>
      <c r="F9" s="22">
        <f>SUM(F10:F17)</f>
        <v>0</v>
      </c>
      <c r="G9" s="22">
        <f>SUM(G10:G17)</f>
        <v>0</v>
      </c>
      <c r="H9" s="22">
        <f t="shared" ref="H9:AB9" si="2">SUM(H10:H17)</f>
        <v>0</v>
      </c>
      <c r="I9" s="22">
        <f t="shared" si="2"/>
        <v>0</v>
      </c>
      <c r="J9" s="22">
        <f t="shared" si="2"/>
        <v>0</v>
      </c>
      <c r="K9" s="22">
        <f t="shared" si="2"/>
        <v>0</v>
      </c>
      <c r="L9" s="40">
        <f t="shared" si="2"/>
        <v>0</v>
      </c>
      <c r="M9" s="36">
        <f t="shared" si="2"/>
        <v>0</v>
      </c>
      <c r="N9" s="22">
        <f t="shared" si="2"/>
        <v>0</v>
      </c>
      <c r="O9" s="22">
        <f t="shared" si="2"/>
        <v>0</v>
      </c>
      <c r="P9" s="22">
        <f t="shared" si="2"/>
        <v>0</v>
      </c>
      <c r="Q9" s="22">
        <f t="shared" si="2"/>
        <v>0</v>
      </c>
      <c r="R9" s="22">
        <f t="shared" si="2"/>
        <v>0</v>
      </c>
      <c r="S9" s="65">
        <f t="shared" si="2"/>
        <v>0</v>
      </c>
      <c r="T9" s="84">
        <f t="shared" ref="T9:AA9" si="3">SUM(T10:T17)</f>
        <v>0</v>
      </c>
      <c r="U9" s="87">
        <f t="shared" si="3"/>
        <v>0</v>
      </c>
      <c r="V9" s="22">
        <f t="shared" si="3"/>
        <v>0</v>
      </c>
      <c r="W9" s="22">
        <f t="shared" si="3"/>
        <v>0</v>
      </c>
      <c r="X9" s="22">
        <f t="shared" si="3"/>
        <v>0</v>
      </c>
      <c r="Y9" s="22">
        <f t="shared" si="3"/>
        <v>0</v>
      </c>
      <c r="Z9" s="22">
        <f t="shared" si="3"/>
        <v>0</v>
      </c>
      <c r="AA9" s="94">
        <f t="shared" si="3"/>
        <v>0</v>
      </c>
      <c r="AB9" s="90">
        <f t="shared" si="2"/>
        <v>0</v>
      </c>
    </row>
    <row r="10" spans="1:28" ht="19.95" hidden="1" customHeight="1" x14ac:dyDescent="0.3">
      <c r="A10" s="52"/>
      <c r="B10" s="24"/>
      <c r="C10" s="24">
        <v>64011</v>
      </c>
      <c r="D10" s="25" t="s">
        <v>44</v>
      </c>
      <c r="E10" s="43"/>
      <c r="F10" s="27"/>
      <c r="G10" s="27"/>
      <c r="H10" s="27"/>
      <c r="I10" s="27"/>
      <c r="J10" s="27"/>
      <c r="K10" s="27"/>
      <c r="L10" s="44"/>
      <c r="M10" s="49">
        <f>L10*Subsector!$S$11</f>
        <v>0</v>
      </c>
      <c r="N10" s="26">
        <f>L10*Subsector!$S$12</f>
        <v>0</v>
      </c>
      <c r="O10" s="26">
        <f>L10*Subsector!$S$13</f>
        <v>0</v>
      </c>
      <c r="P10" s="26">
        <f>L10*Subsector!$S$14</f>
        <v>0</v>
      </c>
      <c r="Q10" s="26">
        <f>L10*Subsector!$S$15</f>
        <v>0</v>
      </c>
      <c r="R10" s="26">
        <f>L10*Subsector!$S$16</f>
        <v>0</v>
      </c>
      <c r="S10" s="66">
        <f>L10*Subsector!$S$17</f>
        <v>0</v>
      </c>
      <c r="T10" s="97">
        <f>ROUNDUP(SUM(G10),1)</f>
        <v>0</v>
      </c>
      <c r="U10" s="98">
        <f>ROUNDUP(SUM(E10,M10),1)</f>
        <v>0</v>
      </c>
      <c r="V10" s="26">
        <f>ROUNDUP(SUM(F10,N10),1)</f>
        <v>0</v>
      </c>
      <c r="W10" s="26">
        <f>ROUNDUP(SUM(O10),1)</f>
        <v>0</v>
      </c>
      <c r="X10" s="26">
        <f t="shared" ref="X10:Z11" si="4">ROUNDUP(SUM(I10,Q10),1)</f>
        <v>0</v>
      </c>
      <c r="Y10" s="26">
        <f t="shared" si="4"/>
        <v>0</v>
      </c>
      <c r="Z10" s="26">
        <f t="shared" si="4"/>
        <v>0</v>
      </c>
      <c r="AA10" s="95">
        <f>SUM(U10:Z10)</f>
        <v>0</v>
      </c>
      <c r="AB10" s="91">
        <f>SUM(T10,AA10)</f>
        <v>0</v>
      </c>
    </row>
    <row r="11" spans="1:28" ht="19.95" hidden="1" customHeight="1" x14ac:dyDescent="0.3">
      <c r="A11" s="52"/>
      <c r="B11" s="24"/>
      <c r="C11" s="24">
        <v>64012</v>
      </c>
      <c r="D11" s="25" t="s">
        <v>89</v>
      </c>
      <c r="E11" s="43"/>
      <c r="F11" s="27"/>
      <c r="G11" s="27"/>
      <c r="H11" s="27"/>
      <c r="I11" s="27"/>
      <c r="J11" s="27"/>
      <c r="K11" s="27"/>
      <c r="L11" s="44"/>
      <c r="M11" s="49">
        <f>L11*Subsector!$S$11</f>
        <v>0</v>
      </c>
      <c r="N11" s="26">
        <f>L11*Subsector!$S$12</f>
        <v>0</v>
      </c>
      <c r="O11" s="26">
        <f>L11*Subsector!$S$13</f>
        <v>0</v>
      </c>
      <c r="P11" s="26">
        <f>L11*Subsector!$S$14</f>
        <v>0</v>
      </c>
      <c r="Q11" s="26">
        <f>L11*Subsector!$S$15</f>
        <v>0</v>
      </c>
      <c r="R11" s="26">
        <f>L11*Subsector!$S$16</f>
        <v>0</v>
      </c>
      <c r="S11" s="66">
        <f>L11*Subsector!$S$17</f>
        <v>0</v>
      </c>
      <c r="T11" s="97">
        <f>ROUNDUP(SUM(G11),1)</f>
        <v>0</v>
      </c>
      <c r="U11" s="98">
        <f>ROUNDUP(SUM(E11,M11),1)</f>
        <v>0</v>
      </c>
      <c r="V11" s="26">
        <f>ROUNDUP(SUM(F11,N11),1)</f>
        <v>0</v>
      </c>
      <c r="W11" s="26">
        <f>ROUNDUP(SUM(O11),1)</f>
        <v>0</v>
      </c>
      <c r="X11" s="26">
        <f t="shared" si="4"/>
        <v>0</v>
      </c>
      <c r="Y11" s="26">
        <f t="shared" si="4"/>
        <v>0</v>
      </c>
      <c r="Z11" s="26">
        <f t="shared" si="4"/>
        <v>0</v>
      </c>
      <c r="AA11" s="95">
        <f>SUM(U11:Z11)</f>
        <v>0</v>
      </c>
      <c r="AB11" s="91">
        <f>SUM(T11,AA11)</f>
        <v>0</v>
      </c>
    </row>
    <row r="12" spans="1:28" ht="19.95" hidden="1" customHeight="1" x14ac:dyDescent="0.3">
      <c r="A12" s="52"/>
      <c r="B12" s="24"/>
      <c r="C12" s="24">
        <v>64013</v>
      </c>
      <c r="D12" s="25" t="s">
        <v>45</v>
      </c>
      <c r="E12" s="43">
        <v>0</v>
      </c>
      <c r="F12" s="27">
        <v>0</v>
      </c>
      <c r="G12" s="27">
        <v>0</v>
      </c>
      <c r="H12" s="27"/>
      <c r="I12" s="27">
        <v>0</v>
      </c>
      <c r="J12" s="27"/>
      <c r="K12" s="27">
        <v>0</v>
      </c>
      <c r="L12" s="44">
        <v>0</v>
      </c>
      <c r="M12" s="49">
        <f>L12*Subsector!$S$11</f>
        <v>0</v>
      </c>
      <c r="N12" s="26">
        <f>L12*Subsector!$S$12</f>
        <v>0</v>
      </c>
      <c r="O12" s="26">
        <f>L12*Subsector!$S$13</f>
        <v>0</v>
      </c>
      <c r="P12" s="26">
        <f>L12*Subsector!$S$14</f>
        <v>0</v>
      </c>
      <c r="Q12" s="26">
        <f>L12*Subsector!$S$15</f>
        <v>0</v>
      </c>
      <c r="R12" s="26">
        <f>L12*Subsector!$S$16</f>
        <v>0</v>
      </c>
      <c r="S12" s="66">
        <f>L12*Subsector!$S$17</f>
        <v>0</v>
      </c>
      <c r="T12" s="97">
        <f t="shared" ref="T12:T17" si="5">ROUNDUP(SUM(G12),1)</f>
        <v>0</v>
      </c>
      <c r="U12" s="98">
        <f t="shared" ref="U12:U17" si="6">ROUNDUP(SUM(E12,M12),1)</f>
        <v>0</v>
      </c>
      <c r="V12" s="26">
        <f t="shared" ref="V12:V17" si="7">ROUNDUP(SUM(F12,N12),1)</f>
        <v>0</v>
      </c>
      <c r="W12" s="26">
        <f t="shared" ref="W12:W17" si="8">ROUNDUP(SUM(O12),1)</f>
        <v>0</v>
      </c>
      <c r="X12" s="26">
        <f t="shared" ref="X12:X17" si="9">ROUNDUP(SUM(I12,Q12),1)</f>
        <v>0</v>
      </c>
      <c r="Y12" s="26">
        <f t="shared" ref="Y12:Y17" si="10">ROUNDUP(SUM(J12,R12),1)</f>
        <v>0</v>
      </c>
      <c r="Z12" s="26">
        <f t="shared" ref="Z12:Z17" si="11">ROUNDUP(SUM(K12,S12),1)</f>
        <v>0</v>
      </c>
      <c r="AA12" s="95">
        <f t="shared" ref="AA12:AA17" si="12">SUM(U12:Z12)</f>
        <v>0</v>
      </c>
      <c r="AB12" s="91">
        <f t="shared" ref="AB12:AB17" si="13">SUM(T12,AA12)</f>
        <v>0</v>
      </c>
    </row>
    <row r="13" spans="1:28" ht="19.95" hidden="1" customHeight="1" x14ac:dyDescent="0.3">
      <c r="A13" s="52"/>
      <c r="B13" s="24"/>
      <c r="C13" s="24">
        <v>64014</v>
      </c>
      <c r="D13" s="25" t="s">
        <v>46</v>
      </c>
      <c r="E13" s="43">
        <v>0</v>
      </c>
      <c r="F13" s="27">
        <v>0</v>
      </c>
      <c r="G13" s="27">
        <v>0</v>
      </c>
      <c r="H13" s="27"/>
      <c r="I13" s="27">
        <v>0</v>
      </c>
      <c r="J13" s="27"/>
      <c r="K13" s="27">
        <v>0</v>
      </c>
      <c r="L13" s="44">
        <v>0</v>
      </c>
      <c r="M13" s="49">
        <f>L13*Subsector!$S$11</f>
        <v>0</v>
      </c>
      <c r="N13" s="26">
        <f>L13*Subsector!$S$12</f>
        <v>0</v>
      </c>
      <c r="O13" s="26">
        <f>L13*Subsector!$S$13</f>
        <v>0</v>
      </c>
      <c r="P13" s="26">
        <f>L13*Subsector!$S$14</f>
        <v>0</v>
      </c>
      <c r="Q13" s="26">
        <f>L13*Subsector!$S$15</f>
        <v>0</v>
      </c>
      <c r="R13" s="26">
        <f>L13*Subsector!$S$16</f>
        <v>0</v>
      </c>
      <c r="S13" s="66">
        <f>L13*Subsector!$S$17</f>
        <v>0</v>
      </c>
      <c r="T13" s="97">
        <f t="shared" si="5"/>
        <v>0</v>
      </c>
      <c r="U13" s="98">
        <f t="shared" si="6"/>
        <v>0</v>
      </c>
      <c r="V13" s="26">
        <f t="shared" si="7"/>
        <v>0</v>
      </c>
      <c r="W13" s="26">
        <f t="shared" si="8"/>
        <v>0</v>
      </c>
      <c r="X13" s="26">
        <f t="shared" si="9"/>
        <v>0</v>
      </c>
      <c r="Y13" s="26">
        <f t="shared" si="10"/>
        <v>0</v>
      </c>
      <c r="Z13" s="26">
        <f t="shared" si="11"/>
        <v>0</v>
      </c>
      <c r="AA13" s="95">
        <f t="shared" si="12"/>
        <v>0</v>
      </c>
      <c r="AB13" s="91">
        <f t="shared" si="13"/>
        <v>0</v>
      </c>
    </row>
    <row r="14" spans="1:28" ht="19.95" hidden="1" customHeight="1" x14ac:dyDescent="0.3">
      <c r="A14" s="52"/>
      <c r="B14" s="24"/>
      <c r="C14" s="24">
        <v>64015</v>
      </c>
      <c r="D14" s="25" t="s">
        <v>47</v>
      </c>
      <c r="E14" s="43"/>
      <c r="F14" s="27"/>
      <c r="G14" s="27"/>
      <c r="H14" s="27"/>
      <c r="I14" s="27"/>
      <c r="J14" s="27"/>
      <c r="K14" s="27"/>
      <c r="L14" s="44"/>
      <c r="M14" s="49">
        <f>L14*Subsector!$S$11</f>
        <v>0</v>
      </c>
      <c r="N14" s="26">
        <f>L14*Subsector!$S$12</f>
        <v>0</v>
      </c>
      <c r="O14" s="26">
        <f>L14*Subsector!$S$13</f>
        <v>0</v>
      </c>
      <c r="P14" s="26">
        <f>L14*Subsector!$S$14</f>
        <v>0</v>
      </c>
      <c r="Q14" s="26">
        <f>L14*Subsector!$S$15</f>
        <v>0</v>
      </c>
      <c r="R14" s="26">
        <f>L14*Subsector!$S$16</f>
        <v>0</v>
      </c>
      <c r="S14" s="66">
        <f>L14*Subsector!$S$17</f>
        <v>0</v>
      </c>
      <c r="T14" s="97">
        <f t="shared" si="5"/>
        <v>0</v>
      </c>
      <c r="U14" s="98">
        <f t="shared" si="6"/>
        <v>0</v>
      </c>
      <c r="V14" s="26">
        <f t="shared" si="7"/>
        <v>0</v>
      </c>
      <c r="W14" s="26">
        <f t="shared" si="8"/>
        <v>0</v>
      </c>
      <c r="X14" s="26">
        <f t="shared" si="9"/>
        <v>0</v>
      </c>
      <c r="Y14" s="26">
        <f t="shared" si="10"/>
        <v>0</v>
      </c>
      <c r="Z14" s="26">
        <f t="shared" si="11"/>
        <v>0</v>
      </c>
      <c r="AA14" s="95">
        <f t="shared" si="12"/>
        <v>0</v>
      </c>
      <c r="AB14" s="91">
        <f t="shared" si="13"/>
        <v>0</v>
      </c>
    </row>
    <row r="15" spans="1:28" ht="19.95" hidden="1" customHeight="1" x14ac:dyDescent="0.3">
      <c r="A15" s="52"/>
      <c r="B15" s="24"/>
      <c r="C15" s="24">
        <v>64016</v>
      </c>
      <c r="D15" s="25" t="s">
        <v>48</v>
      </c>
      <c r="E15" s="43"/>
      <c r="F15" s="27"/>
      <c r="G15" s="27"/>
      <c r="H15" s="27"/>
      <c r="I15" s="27"/>
      <c r="J15" s="27"/>
      <c r="K15" s="27"/>
      <c r="L15" s="44"/>
      <c r="M15" s="49">
        <f>L15*Subsector!$S$11</f>
        <v>0</v>
      </c>
      <c r="N15" s="26">
        <f>L15*Subsector!$S$12</f>
        <v>0</v>
      </c>
      <c r="O15" s="26">
        <f>L15*Subsector!$S$13</f>
        <v>0</v>
      </c>
      <c r="P15" s="26">
        <f>L15*Subsector!$S$14</f>
        <v>0</v>
      </c>
      <c r="Q15" s="26">
        <f>L15*Subsector!$S$15</f>
        <v>0</v>
      </c>
      <c r="R15" s="26">
        <f>L15*Subsector!$S$16</f>
        <v>0</v>
      </c>
      <c r="S15" s="66">
        <f>L15*Subsector!$S$17</f>
        <v>0</v>
      </c>
      <c r="T15" s="97">
        <f t="shared" si="5"/>
        <v>0</v>
      </c>
      <c r="U15" s="98">
        <f t="shared" si="6"/>
        <v>0</v>
      </c>
      <c r="V15" s="26">
        <f t="shared" si="7"/>
        <v>0</v>
      </c>
      <c r="W15" s="26">
        <f t="shared" si="8"/>
        <v>0</v>
      </c>
      <c r="X15" s="26">
        <f t="shared" si="9"/>
        <v>0</v>
      </c>
      <c r="Y15" s="26">
        <f t="shared" si="10"/>
        <v>0</v>
      </c>
      <c r="Z15" s="26">
        <f t="shared" si="11"/>
        <v>0</v>
      </c>
      <c r="AA15" s="95">
        <f t="shared" si="12"/>
        <v>0</v>
      </c>
      <c r="AB15" s="91">
        <f t="shared" si="13"/>
        <v>0</v>
      </c>
    </row>
    <row r="16" spans="1:28" ht="19.95" hidden="1" customHeight="1" x14ac:dyDescent="0.3">
      <c r="A16" s="52"/>
      <c r="B16" s="24"/>
      <c r="C16" s="24">
        <v>64017</v>
      </c>
      <c r="D16" s="25" t="s">
        <v>49</v>
      </c>
      <c r="E16" s="43"/>
      <c r="F16" s="27"/>
      <c r="G16" s="27"/>
      <c r="H16" s="27"/>
      <c r="I16" s="27"/>
      <c r="J16" s="27"/>
      <c r="K16" s="27"/>
      <c r="L16" s="44"/>
      <c r="M16" s="49">
        <f>L16*Subsector!$S$11</f>
        <v>0</v>
      </c>
      <c r="N16" s="26">
        <f>L16*Subsector!$S$12</f>
        <v>0</v>
      </c>
      <c r="O16" s="26">
        <f>L16*Subsector!$S$13</f>
        <v>0</v>
      </c>
      <c r="P16" s="26">
        <f>L16*Subsector!$S$14</f>
        <v>0</v>
      </c>
      <c r="Q16" s="26">
        <f>L16*Subsector!$S$15</f>
        <v>0</v>
      </c>
      <c r="R16" s="26">
        <f>L16*Subsector!$S$16</f>
        <v>0</v>
      </c>
      <c r="S16" s="66">
        <f>L16*Subsector!$S$17</f>
        <v>0</v>
      </c>
      <c r="T16" s="97">
        <f t="shared" si="5"/>
        <v>0</v>
      </c>
      <c r="U16" s="98">
        <f t="shared" si="6"/>
        <v>0</v>
      </c>
      <c r="V16" s="26">
        <f t="shared" si="7"/>
        <v>0</v>
      </c>
      <c r="W16" s="26">
        <f t="shared" si="8"/>
        <v>0</v>
      </c>
      <c r="X16" s="26">
        <f t="shared" si="9"/>
        <v>0</v>
      </c>
      <c r="Y16" s="26">
        <f t="shared" si="10"/>
        <v>0</v>
      </c>
      <c r="Z16" s="26">
        <f t="shared" si="11"/>
        <v>0</v>
      </c>
      <c r="AA16" s="95">
        <f t="shared" si="12"/>
        <v>0</v>
      </c>
      <c r="AB16" s="91">
        <f t="shared" si="13"/>
        <v>0</v>
      </c>
    </row>
    <row r="17" spans="1:28" ht="19.95" hidden="1" customHeight="1" x14ac:dyDescent="0.3">
      <c r="A17" s="52"/>
      <c r="B17" s="24"/>
      <c r="C17" s="24">
        <v>64018</v>
      </c>
      <c r="D17" s="25" t="s">
        <v>50</v>
      </c>
      <c r="E17" s="43"/>
      <c r="F17" s="27"/>
      <c r="G17" s="27"/>
      <c r="H17" s="27"/>
      <c r="I17" s="27"/>
      <c r="J17" s="27"/>
      <c r="K17" s="27"/>
      <c r="L17" s="44"/>
      <c r="M17" s="49">
        <f>L17*Subsector!$S$11</f>
        <v>0</v>
      </c>
      <c r="N17" s="26">
        <f>L17*Subsector!$S$12</f>
        <v>0</v>
      </c>
      <c r="O17" s="26">
        <f>L17*Subsector!$S$13</f>
        <v>0</v>
      </c>
      <c r="P17" s="26">
        <f>L17*Subsector!$S$14</f>
        <v>0</v>
      </c>
      <c r="Q17" s="26">
        <f>L17*Subsector!$S$15</f>
        <v>0</v>
      </c>
      <c r="R17" s="26">
        <f>L17*Subsector!$S$16</f>
        <v>0</v>
      </c>
      <c r="S17" s="66">
        <f>L17*Subsector!$S$17</f>
        <v>0</v>
      </c>
      <c r="T17" s="97">
        <f t="shared" si="5"/>
        <v>0</v>
      </c>
      <c r="U17" s="98">
        <f t="shared" si="6"/>
        <v>0</v>
      </c>
      <c r="V17" s="26">
        <f t="shared" si="7"/>
        <v>0</v>
      </c>
      <c r="W17" s="26">
        <f t="shared" si="8"/>
        <v>0</v>
      </c>
      <c r="X17" s="26">
        <f t="shared" si="9"/>
        <v>0</v>
      </c>
      <c r="Y17" s="26">
        <f t="shared" si="10"/>
        <v>0</v>
      </c>
      <c r="Z17" s="26">
        <f t="shared" si="11"/>
        <v>0</v>
      </c>
      <c r="AA17" s="95">
        <f t="shared" si="12"/>
        <v>0</v>
      </c>
      <c r="AB17" s="91">
        <f t="shared" si="13"/>
        <v>0</v>
      </c>
    </row>
    <row r="18" spans="1:28" ht="19.95" customHeight="1" x14ac:dyDescent="0.3">
      <c r="A18" s="51"/>
      <c r="B18" s="23">
        <v>6402</v>
      </c>
      <c r="C18" s="23"/>
      <c r="D18" s="21" t="s">
        <v>51</v>
      </c>
      <c r="E18" s="39">
        <f>SUM(E19:E26)</f>
        <v>132.19999999999999</v>
      </c>
      <c r="F18" s="22">
        <f t="shared" ref="F18:AB18" si="14">SUM(F19:F26)</f>
        <v>179.99999999999997</v>
      </c>
      <c r="G18" s="22">
        <f t="shared" si="14"/>
        <v>14167.800000000001</v>
      </c>
      <c r="H18" s="22">
        <f t="shared" si="14"/>
        <v>0</v>
      </c>
      <c r="I18" s="22">
        <f t="shared" si="14"/>
        <v>89.1</v>
      </c>
      <c r="J18" s="22">
        <f t="shared" si="14"/>
        <v>0</v>
      </c>
      <c r="K18" s="22">
        <f t="shared" si="14"/>
        <v>179.39999999999998</v>
      </c>
      <c r="L18" s="40">
        <f t="shared" si="14"/>
        <v>838.2</v>
      </c>
      <c r="M18" s="36">
        <f t="shared" si="14"/>
        <v>2.971558440543574</v>
      </c>
      <c r="N18" s="22">
        <f t="shared" si="14"/>
        <v>504.51865914045999</v>
      </c>
      <c r="O18" s="22">
        <f t="shared" si="14"/>
        <v>316.1947783684941</v>
      </c>
      <c r="P18" s="22">
        <f t="shared" si="14"/>
        <v>0</v>
      </c>
      <c r="Q18" s="22">
        <f t="shared" si="14"/>
        <v>10.523814609419567</v>
      </c>
      <c r="R18" s="22">
        <f t="shared" si="14"/>
        <v>0</v>
      </c>
      <c r="S18" s="65">
        <f t="shared" si="14"/>
        <v>3.9911894410827724</v>
      </c>
      <c r="T18" s="84">
        <f t="shared" ref="T18:AA18" si="15">SUM(T19:T26)</f>
        <v>14167.800000000001</v>
      </c>
      <c r="U18" s="87">
        <f t="shared" si="15"/>
        <v>135.29999999999998</v>
      </c>
      <c r="V18" s="22">
        <f t="shared" si="15"/>
        <v>684.7</v>
      </c>
      <c r="W18" s="22">
        <f t="shared" si="15"/>
        <v>316.39999999999998</v>
      </c>
      <c r="X18" s="22">
        <f t="shared" si="15"/>
        <v>99.7</v>
      </c>
      <c r="Y18" s="22">
        <f t="shared" si="15"/>
        <v>0</v>
      </c>
      <c r="Z18" s="22">
        <f t="shared" si="15"/>
        <v>183.6</v>
      </c>
      <c r="AA18" s="94">
        <f t="shared" si="15"/>
        <v>1419.7</v>
      </c>
      <c r="AB18" s="90">
        <f t="shared" si="14"/>
        <v>15587.5</v>
      </c>
    </row>
    <row r="19" spans="1:28" ht="19.95" customHeight="1" x14ac:dyDescent="0.3">
      <c r="A19" s="52"/>
      <c r="B19" s="24"/>
      <c r="C19" s="24">
        <v>64021</v>
      </c>
      <c r="D19" s="25" t="s">
        <v>52</v>
      </c>
      <c r="E19" s="43">
        <v>66.8</v>
      </c>
      <c r="F19" s="27">
        <v>92.5</v>
      </c>
      <c r="G19" s="27">
        <v>6729.2000000000007</v>
      </c>
      <c r="H19" s="27"/>
      <c r="I19" s="27">
        <v>45.4</v>
      </c>
      <c r="J19" s="27"/>
      <c r="K19" s="27">
        <v>92.1</v>
      </c>
      <c r="L19" s="44">
        <v>437.5</v>
      </c>
      <c r="M19" s="49">
        <f>L19*Subsector!$S$11</f>
        <v>1.5510102812429176</v>
      </c>
      <c r="N19" s="26">
        <f>L19*Subsector!$S$12</f>
        <v>263.33442301831451</v>
      </c>
      <c r="O19" s="26">
        <f>L19*Subsector!$S$13</f>
        <v>165.03843418780266</v>
      </c>
      <c r="P19" s="26">
        <f>L19*Subsector!$S$14</f>
        <v>0</v>
      </c>
      <c r="Q19" s="26">
        <f>L19*Subsector!$S$15</f>
        <v>5.4929239938213552</v>
      </c>
      <c r="R19" s="26">
        <f>L19*Subsector!$S$16</f>
        <v>0</v>
      </c>
      <c r="S19" s="66">
        <f>L19*Subsector!$S$17</f>
        <v>2.0832085188185552</v>
      </c>
      <c r="T19" s="97">
        <f t="shared" ref="T19:T26" si="16">ROUNDUP(SUM(G19),1)</f>
        <v>6729.2</v>
      </c>
      <c r="U19" s="98">
        <f t="shared" ref="U19:U26" si="17">ROUNDUP(SUM(E19,M19),1)</f>
        <v>68.399999999999991</v>
      </c>
      <c r="V19" s="26">
        <f t="shared" ref="V19:V26" si="18">ROUNDUP(SUM(F19,N19),1)</f>
        <v>355.90000000000003</v>
      </c>
      <c r="W19" s="26">
        <f t="shared" ref="W19:W26" si="19">ROUNDUP(SUM(O19),1)</f>
        <v>165.1</v>
      </c>
      <c r="X19" s="26">
        <f t="shared" ref="X19:X26" si="20">ROUNDUP(SUM(I19,Q19),1)</f>
        <v>50.9</v>
      </c>
      <c r="Y19" s="26">
        <f t="shared" ref="Y19:Y26" si="21">ROUNDUP(SUM(J19,R19),1)</f>
        <v>0</v>
      </c>
      <c r="Z19" s="26">
        <f t="shared" ref="Z19:Z26" si="22">ROUNDUP(SUM(K19,S19),1)</f>
        <v>94.199999999999989</v>
      </c>
      <c r="AA19" s="95">
        <f t="shared" ref="AA19:AA26" si="23">SUM(U19:Z19)</f>
        <v>734.5</v>
      </c>
      <c r="AB19" s="91">
        <f t="shared" ref="AB19:AB26" si="24">SUM(T19,AA19)</f>
        <v>7463.7</v>
      </c>
    </row>
    <row r="20" spans="1:28" ht="19.95" customHeight="1" x14ac:dyDescent="0.3">
      <c r="A20" s="52"/>
      <c r="B20" s="24"/>
      <c r="C20" s="24">
        <v>64022</v>
      </c>
      <c r="D20" s="25" t="s">
        <v>53</v>
      </c>
      <c r="E20" s="43">
        <v>58.2</v>
      </c>
      <c r="F20" s="27">
        <v>77.899999999999991</v>
      </c>
      <c r="G20" s="27">
        <v>5807</v>
      </c>
      <c r="H20" s="27"/>
      <c r="I20" s="27">
        <v>38.9</v>
      </c>
      <c r="J20" s="27"/>
      <c r="K20" s="27">
        <v>77.699999999999989</v>
      </c>
      <c r="L20" s="44">
        <v>357.90000000000003</v>
      </c>
      <c r="M20" s="49">
        <f>L20*Subsector!$S$11</f>
        <v>1.2688150392156348</v>
      </c>
      <c r="N20" s="26">
        <f>L20*Subsector!$S$12</f>
        <v>215.42260571029664</v>
      </c>
      <c r="O20" s="26">
        <f>L20*Subsector!$S$13</f>
        <v>135.01086993329045</v>
      </c>
      <c r="P20" s="26">
        <f>L20*Subsector!$S$14</f>
        <v>0</v>
      </c>
      <c r="Q20" s="26">
        <f>L20*Subsector!$S$15</f>
        <v>4.4935257083169446</v>
      </c>
      <c r="R20" s="26">
        <f>L20*Subsector!$S$16</f>
        <v>0</v>
      </c>
      <c r="S20" s="66">
        <f>L20*Subsector!$S$17</f>
        <v>1.7041836088803679</v>
      </c>
      <c r="T20" s="97">
        <f t="shared" si="16"/>
        <v>5807</v>
      </c>
      <c r="U20" s="98">
        <f t="shared" si="17"/>
        <v>59.5</v>
      </c>
      <c r="V20" s="26">
        <f t="shared" si="18"/>
        <v>293.40000000000003</v>
      </c>
      <c r="W20" s="26">
        <f t="shared" si="19"/>
        <v>135.1</v>
      </c>
      <c r="X20" s="26">
        <f t="shared" si="20"/>
        <v>43.4</v>
      </c>
      <c r="Y20" s="26">
        <f t="shared" si="21"/>
        <v>0</v>
      </c>
      <c r="Z20" s="26">
        <f t="shared" si="22"/>
        <v>79.5</v>
      </c>
      <c r="AA20" s="95">
        <f t="shared" si="23"/>
        <v>610.9</v>
      </c>
      <c r="AB20" s="91">
        <f t="shared" si="24"/>
        <v>6417.9</v>
      </c>
    </row>
    <row r="21" spans="1:28" ht="19.95" customHeight="1" x14ac:dyDescent="0.3">
      <c r="A21" s="52"/>
      <c r="B21" s="24"/>
      <c r="C21" s="24">
        <v>64023</v>
      </c>
      <c r="D21" s="25" t="s">
        <v>54</v>
      </c>
      <c r="E21" s="43">
        <v>0</v>
      </c>
      <c r="F21" s="27">
        <v>0</v>
      </c>
      <c r="G21" s="27">
        <v>788.7</v>
      </c>
      <c r="H21" s="27"/>
      <c r="I21" s="27">
        <v>0</v>
      </c>
      <c r="J21" s="27"/>
      <c r="K21" s="27">
        <v>0</v>
      </c>
      <c r="L21" s="44">
        <v>0</v>
      </c>
      <c r="M21" s="49">
        <f>L21*Subsector!$S$11</f>
        <v>0</v>
      </c>
      <c r="N21" s="26">
        <f>L21*Subsector!$S$12</f>
        <v>0</v>
      </c>
      <c r="O21" s="26">
        <f>L21*Subsector!$S$13</f>
        <v>0</v>
      </c>
      <c r="P21" s="26">
        <f>L21*Subsector!$S$14</f>
        <v>0</v>
      </c>
      <c r="Q21" s="26">
        <f>L21*Subsector!$S$15</f>
        <v>0</v>
      </c>
      <c r="R21" s="26">
        <f>L21*Subsector!$S$16</f>
        <v>0</v>
      </c>
      <c r="S21" s="66">
        <f>L21*Subsector!$S$17</f>
        <v>0</v>
      </c>
      <c r="T21" s="97">
        <f t="shared" si="16"/>
        <v>788.7</v>
      </c>
      <c r="U21" s="98">
        <f t="shared" si="17"/>
        <v>0</v>
      </c>
      <c r="V21" s="26">
        <f t="shared" si="18"/>
        <v>0</v>
      </c>
      <c r="W21" s="26">
        <f t="shared" si="19"/>
        <v>0</v>
      </c>
      <c r="X21" s="26">
        <f t="shared" si="20"/>
        <v>0</v>
      </c>
      <c r="Y21" s="26">
        <f t="shared" si="21"/>
        <v>0</v>
      </c>
      <c r="Z21" s="26">
        <f t="shared" si="22"/>
        <v>0</v>
      </c>
      <c r="AA21" s="95">
        <f t="shared" si="23"/>
        <v>0</v>
      </c>
      <c r="AB21" s="91">
        <f t="shared" si="24"/>
        <v>788.7</v>
      </c>
    </row>
    <row r="22" spans="1:28" ht="19.95" hidden="1" customHeight="1" x14ac:dyDescent="0.3">
      <c r="A22" s="52"/>
      <c r="B22" s="24"/>
      <c r="C22" s="24">
        <v>64024</v>
      </c>
      <c r="D22" s="25" t="s">
        <v>55</v>
      </c>
      <c r="E22" s="43"/>
      <c r="F22" s="27"/>
      <c r="G22" s="27"/>
      <c r="H22" s="27"/>
      <c r="I22" s="27"/>
      <c r="J22" s="27"/>
      <c r="K22" s="27"/>
      <c r="L22" s="44"/>
      <c r="M22" s="49">
        <f>L22*Subsector!$S$11</f>
        <v>0</v>
      </c>
      <c r="N22" s="26">
        <f>L22*Subsector!$S$12</f>
        <v>0</v>
      </c>
      <c r="O22" s="26">
        <f>L22*Subsector!$S$13</f>
        <v>0</v>
      </c>
      <c r="P22" s="26">
        <f>L22*Subsector!$S$14</f>
        <v>0</v>
      </c>
      <c r="Q22" s="26">
        <f>L22*Subsector!$S$15</f>
        <v>0</v>
      </c>
      <c r="R22" s="26">
        <f>L22*Subsector!$S$16</f>
        <v>0</v>
      </c>
      <c r="S22" s="66">
        <f>L22*Subsector!$S$17</f>
        <v>0</v>
      </c>
      <c r="T22" s="97">
        <f t="shared" si="16"/>
        <v>0</v>
      </c>
      <c r="U22" s="98">
        <f t="shared" si="17"/>
        <v>0</v>
      </c>
      <c r="V22" s="26">
        <f t="shared" si="18"/>
        <v>0</v>
      </c>
      <c r="W22" s="26">
        <f t="shared" si="19"/>
        <v>0</v>
      </c>
      <c r="X22" s="26">
        <f t="shared" si="20"/>
        <v>0</v>
      </c>
      <c r="Y22" s="26">
        <f t="shared" si="21"/>
        <v>0</v>
      </c>
      <c r="Z22" s="26">
        <f t="shared" si="22"/>
        <v>0</v>
      </c>
      <c r="AA22" s="95">
        <f t="shared" si="23"/>
        <v>0</v>
      </c>
      <c r="AB22" s="91">
        <f t="shared" si="24"/>
        <v>0</v>
      </c>
    </row>
    <row r="23" spans="1:28" ht="19.95" hidden="1" customHeight="1" x14ac:dyDescent="0.3">
      <c r="A23" s="52"/>
      <c r="B23" s="24"/>
      <c r="C23" s="24">
        <v>64025</v>
      </c>
      <c r="D23" s="25" t="s">
        <v>56</v>
      </c>
      <c r="E23" s="43"/>
      <c r="F23" s="27"/>
      <c r="G23" s="27"/>
      <c r="H23" s="27"/>
      <c r="I23" s="27"/>
      <c r="J23" s="27"/>
      <c r="K23" s="27"/>
      <c r="L23" s="44"/>
      <c r="M23" s="49">
        <f>L23*Subsector!$S$11</f>
        <v>0</v>
      </c>
      <c r="N23" s="26">
        <f>L23*Subsector!$S$12</f>
        <v>0</v>
      </c>
      <c r="O23" s="26">
        <f>L23*Subsector!$S$13</f>
        <v>0</v>
      </c>
      <c r="P23" s="26">
        <f>L23*Subsector!$S$14</f>
        <v>0</v>
      </c>
      <c r="Q23" s="26">
        <f>L23*Subsector!$S$15</f>
        <v>0</v>
      </c>
      <c r="R23" s="26">
        <f>L23*Subsector!$S$16</f>
        <v>0</v>
      </c>
      <c r="S23" s="66">
        <f>L23*Subsector!$S$17</f>
        <v>0</v>
      </c>
      <c r="T23" s="97">
        <f t="shared" si="16"/>
        <v>0</v>
      </c>
      <c r="U23" s="98">
        <f t="shared" si="17"/>
        <v>0</v>
      </c>
      <c r="V23" s="26">
        <f t="shared" si="18"/>
        <v>0</v>
      </c>
      <c r="W23" s="26">
        <f t="shared" si="19"/>
        <v>0</v>
      </c>
      <c r="X23" s="26">
        <f t="shared" si="20"/>
        <v>0</v>
      </c>
      <c r="Y23" s="26">
        <f t="shared" si="21"/>
        <v>0</v>
      </c>
      <c r="Z23" s="26">
        <f t="shared" si="22"/>
        <v>0</v>
      </c>
      <c r="AA23" s="95">
        <f t="shared" si="23"/>
        <v>0</v>
      </c>
      <c r="AB23" s="91">
        <f t="shared" si="24"/>
        <v>0</v>
      </c>
    </row>
    <row r="24" spans="1:28" ht="19.95" customHeight="1" x14ac:dyDescent="0.3">
      <c r="A24" s="52"/>
      <c r="B24" s="24"/>
      <c r="C24" s="24">
        <v>64026</v>
      </c>
      <c r="D24" s="25" t="s">
        <v>57</v>
      </c>
      <c r="E24" s="43">
        <v>7.2</v>
      </c>
      <c r="F24" s="27">
        <v>9.6</v>
      </c>
      <c r="G24" s="27">
        <v>842.9</v>
      </c>
      <c r="H24" s="27"/>
      <c r="I24" s="27">
        <v>4.8</v>
      </c>
      <c r="J24" s="27"/>
      <c r="K24" s="27">
        <v>9.6</v>
      </c>
      <c r="L24" s="44">
        <v>42.800000000000004</v>
      </c>
      <c r="M24" s="49">
        <f>L24*Subsector!$S$11</f>
        <v>0.15173312008502143</v>
      </c>
      <c r="N24" s="26">
        <f>L24*Subsector!$S$12</f>
        <v>25.761630411848831</v>
      </c>
      <c r="O24" s="26">
        <f>L24*Subsector!$S$13</f>
        <v>16.145474247401037</v>
      </c>
      <c r="P24" s="26">
        <f>L24*Subsector!$S$14</f>
        <v>0</v>
      </c>
      <c r="Q24" s="26">
        <f>L24*Subsector!$S$15</f>
        <v>0.5373649072812664</v>
      </c>
      <c r="R24" s="26">
        <f>L24*Subsector!$S$16</f>
        <v>0</v>
      </c>
      <c r="S24" s="66">
        <f>L24*Subsector!$S$17</f>
        <v>0.20379731338384954</v>
      </c>
      <c r="T24" s="97">
        <f t="shared" si="16"/>
        <v>842.9</v>
      </c>
      <c r="U24" s="98">
        <f t="shared" si="17"/>
        <v>7.3999999999999995</v>
      </c>
      <c r="V24" s="26">
        <f t="shared" si="18"/>
        <v>35.4</v>
      </c>
      <c r="W24" s="26">
        <f t="shared" si="19"/>
        <v>16.200000000000003</v>
      </c>
      <c r="X24" s="26">
        <f t="shared" si="20"/>
        <v>5.3999999999999995</v>
      </c>
      <c r="Y24" s="26">
        <f t="shared" si="21"/>
        <v>0</v>
      </c>
      <c r="Z24" s="26">
        <f t="shared" si="22"/>
        <v>9.9</v>
      </c>
      <c r="AA24" s="95">
        <f t="shared" si="23"/>
        <v>74.300000000000011</v>
      </c>
      <c r="AB24" s="91">
        <f t="shared" si="24"/>
        <v>917.2</v>
      </c>
    </row>
    <row r="25" spans="1:28" ht="19.95" hidden="1" customHeight="1" x14ac:dyDescent="0.3">
      <c r="A25" s="52"/>
      <c r="B25" s="24"/>
      <c r="C25" s="24">
        <v>64027</v>
      </c>
      <c r="D25" s="25" t="s">
        <v>58</v>
      </c>
      <c r="E25" s="43"/>
      <c r="F25" s="27"/>
      <c r="G25" s="27"/>
      <c r="H25" s="27"/>
      <c r="I25" s="27"/>
      <c r="J25" s="27"/>
      <c r="K25" s="27"/>
      <c r="L25" s="44"/>
      <c r="M25" s="49">
        <f>L25*Subsector!$S$11</f>
        <v>0</v>
      </c>
      <c r="N25" s="26">
        <f>L25*Subsector!$S$12</f>
        <v>0</v>
      </c>
      <c r="O25" s="26">
        <f>L25*Subsector!$S$13</f>
        <v>0</v>
      </c>
      <c r="P25" s="26">
        <f>L25*Subsector!$S$14</f>
        <v>0</v>
      </c>
      <c r="Q25" s="26">
        <f>L25*Subsector!$S$15</f>
        <v>0</v>
      </c>
      <c r="R25" s="26">
        <f>L25*Subsector!$S$16</f>
        <v>0</v>
      </c>
      <c r="S25" s="66">
        <f>L25*Subsector!$S$17</f>
        <v>0</v>
      </c>
      <c r="T25" s="97">
        <f t="shared" si="16"/>
        <v>0</v>
      </c>
      <c r="U25" s="98">
        <f t="shared" si="17"/>
        <v>0</v>
      </c>
      <c r="V25" s="26">
        <f t="shared" si="18"/>
        <v>0</v>
      </c>
      <c r="W25" s="26">
        <f t="shared" si="19"/>
        <v>0</v>
      </c>
      <c r="X25" s="26">
        <f t="shared" si="20"/>
        <v>0</v>
      </c>
      <c r="Y25" s="26">
        <f t="shared" si="21"/>
        <v>0</v>
      </c>
      <c r="Z25" s="26">
        <f t="shared" si="22"/>
        <v>0</v>
      </c>
      <c r="AA25" s="95">
        <f t="shared" si="23"/>
        <v>0</v>
      </c>
      <c r="AB25" s="91">
        <f t="shared" si="24"/>
        <v>0</v>
      </c>
    </row>
    <row r="26" spans="1:28" ht="19.95" hidden="1" customHeight="1" x14ac:dyDescent="0.3">
      <c r="A26" s="52"/>
      <c r="B26" s="24"/>
      <c r="C26" s="24">
        <v>64028</v>
      </c>
      <c r="D26" s="25" t="s">
        <v>59</v>
      </c>
      <c r="E26" s="43"/>
      <c r="F26" s="27"/>
      <c r="G26" s="27"/>
      <c r="H26" s="27"/>
      <c r="I26" s="27"/>
      <c r="J26" s="27"/>
      <c r="K26" s="27"/>
      <c r="L26" s="44"/>
      <c r="M26" s="49">
        <f>L26*Subsector!$S$11</f>
        <v>0</v>
      </c>
      <c r="N26" s="26">
        <f>L26*Subsector!$S$12</f>
        <v>0</v>
      </c>
      <c r="O26" s="26">
        <f>L26*Subsector!$S$13</f>
        <v>0</v>
      </c>
      <c r="P26" s="26">
        <f>L26*Subsector!$S$14</f>
        <v>0</v>
      </c>
      <c r="Q26" s="26">
        <f>L26*Subsector!$S$15</f>
        <v>0</v>
      </c>
      <c r="R26" s="26">
        <f>L26*Subsector!$S$16</f>
        <v>0</v>
      </c>
      <c r="S26" s="66">
        <f>L26*Subsector!$S$17</f>
        <v>0</v>
      </c>
      <c r="T26" s="97">
        <f t="shared" si="16"/>
        <v>0</v>
      </c>
      <c r="U26" s="98">
        <f t="shared" si="17"/>
        <v>0</v>
      </c>
      <c r="V26" s="26">
        <f t="shared" si="18"/>
        <v>0</v>
      </c>
      <c r="W26" s="26">
        <f t="shared" si="19"/>
        <v>0</v>
      </c>
      <c r="X26" s="26">
        <f t="shared" si="20"/>
        <v>0</v>
      </c>
      <c r="Y26" s="26">
        <f t="shared" si="21"/>
        <v>0</v>
      </c>
      <c r="Z26" s="26">
        <f t="shared" si="22"/>
        <v>0</v>
      </c>
      <c r="AA26" s="95">
        <f t="shared" si="23"/>
        <v>0</v>
      </c>
      <c r="AB26" s="91">
        <f t="shared" si="24"/>
        <v>0</v>
      </c>
    </row>
    <row r="27" spans="1:28" ht="19.95" hidden="1" customHeight="1" x14ac:dyDescent="0.3">
      <c r="A27" s="51"/>
      <c r="B27" s="23">
        <v>6403</v>
      </c>
      <c r="C27" s="23"/>
      <c r="D27" s="21" t="s">
        <v>60</v>
      </c>
      <c r="E27" s="39">
        <f>SUM(E28:E32)</f>
        <v>0</v>
      </c>
      <c r="F27" s="22">
        <f t="shared" ref="F27:AB27" si="25">SUM(F28:F32)</f>
        <v>0</v>
      </c>
      <c r="G27" s="22">
        <f t="shared" si="25"/>
        <v>0</v>
      </c>
      <c r="H27" s="22">
        <f t="shared" si="25"/>
        <v>0</v>
      </c>
      <c r="I27" s="22">
        <f t="shared" si="25"/>
        <v>0</v>
      </c>
      <c r="J27" s="22">
        <f t="shared" si="25"/>
        <v>0</v>
      </c>
      <c r="K27" s="22">
        <f t="shared" si="25"/>
        <v>0</v>
      </c>
      <c r="L27" s="40">
        <f t="shared" si="25"/>
        <v>0</v>
      </c>
      <c r="M27" s="36">
        <f t="shared" si="25"/>
        <v>0</v>
      </c>
      <c r="N27" s="22">
        <f t="shared" si="25"/>
        <v>0</v>
      </c>
      <c r="O27" s="22">
        <f t="shared" si="25"/>
        <v>0</v>
      </c>
      <c r="P27" s="22">
        <f t="shared" si="25"/>
        <v>0</v>
      </c>
      <c r="Q27" s="22">
        <f t="shared" si="25"/>
        <v>0</v>
      </c>
      <c r="R27" s="22">
        <f t="shared" si="25"/>
        <v>0</v>
      </c>
      <c r="S27" s="65">
        <f t="shared" si="25"/>
        <v>0</v>
      </c>
      <c r="T27" s="84">
        <f t="shared" ref="T27:AA27" si="26">SUM(T28:T32)</f>
        <v>0</v>
      </c>
      <c r="U27" s="87">
        <f t="shared" si="26"/>
        <v>0</v>
      </c>
      <c r="V27" s="22">
        <f t="shared" si="26"/>
        <v>0</v>
      </c>
      <c r="W27" s="22">
        <f t="shared" si="26"/>
        <v>0</v>
      </c>
      <c r="X27" s="22">
        <f t="shared" si="26"/>
        <v>0</v>
      </c>
      <c r="Y27" s="22">
        <f t="shared" si="26"/>
        <v>0</v>
      </c>
      <c r="Z27" s="22">
        <f t="shared" si="26"/>
        <v>0</v>
      </c>
      <c r="AA27" s="94">
        <f t="shared" si="26"/>
        <v>0</v>
      </c>
      <c r="AB27" s="90">
        <f t="shared" si="25"/>
        <v>0</v>
      </c>
    </row>
    <row r="28" spans="1:28" ht="19.95" hidden="1" customHeight="1" x14ac:dyDescent="0.3">
      <c r="A28" s="52"/>
      <c r="B28" s="24"/>
      <c r="C28" s="24">
        <v>64033</v>
      </c>
      <c r="D28" s="25" t="s">
        <v>61</v>
      </c>
      <c r="E28" s="43"/>
      <c r="F28" s="27"/>
      <c r="G28" s="27"/>
      <c r="H28" s="27"/>
      <c r="I28" s="27"/>
      <c r="J28" s="27"/>
      <c r="K28" s="27"/>
      <c r="L28" s="44"/>
      <c r="M28" s="49">
        <f>L28*Subsector!$S$11</f>
        <v>0</v>
      </c>
      <c r="N28" s="26">
        <f>L28*Subsector!$S$12</f>
        <v>0</v>
      </c>
      <c r="O28" s="26">
        <f>L28*Subsector!$S$13</f>
        <v>0</v>
      </c>
      <c r="P28" s="26">
        <f>L28*Subsector!$S$14</f>
        <v>0</v>
      </c>
      <c r="Q28" s="26">
        <f>L28*Subsector!$S$15</f>
        <v>0</v>
      </c>
      <c r="R28" s="26">
        <f>L28*Subsector!$S$16</f>
        <v>0</v>
      </c>
      <c r="S28" s="66">
        <f>L28*Subsector!$S$17</f>
        <v>0</v>
      </c>
      <c r="T28" s="97">
        <f t="shared" ref="T28:T32" si="27">ROUNDUP(SUM(G28),1)</f>
        <v>0</v>
      </c>
      <c r="U28" s="98">
        <f t="shared" ref="U28:U32" si="28">ROUNDUP(SUM(E28,M28),1)</f>
        <v>0</v>
      </c>
      <c r="V28" s="26">
        <f t="shared" ref="V28:V32" si="29">ROUNDUP(SUM(F28,N28),1)</f>
        <v>0</v>
      </c>
      <c r="W28" s="26">
        <f t="shared" ref="W28:W32" si="30">ROUNDUP(SUM(O28),1)</f>
        <v>0</v>
      </c>
      <c r="X28" s="26">
        <f t="shared" ref="X28:X32" si="31">ROUNDUP(SUM(I28,Q28),1)</f>
        <v>0</v>
      </c>
      <c r="Y28" s="26">
        <f t="shared" ref="Y28:Y32" si="32">ROUNDUP(SUM(J28,R28),1)</f>
        <v>0</v>
      </c>
      <c r="Z28" s="26">
        <f t="shared" ref="Z28:Z32" si="33">ROUNDUP(SUM(K28,S28),1)</f>
        <v>0</v>
      </c>
      <c r="AA28" s="95">
        <f t="shared" ref="AA28:AA32" si="34">SUM(U28:Z28)</f>
        <v>0</v>
      </c>
      <c r="AB28" s="91">
        <f t="shared" ref="AB28:AB32" si="35">SUM(T28,AA28)</f>
        <v>0</v>
      </c>
    </row>
    <row r="29" spans="1:28" ht="19.95" hidden="1" customHeight="1" x14ac:dyDescent="0.3">
      <c r="A29" s="52"/>
      <c r="B29" s="24"/>
      <c r="C29" s="24">
        <v>64034</v>
      </c>
      <c r="D29" s="25" t="s">
        <v>62</v>
      </c>
      <c r="E29" s="43"/>
      <c r="F29" s="27"/>
      <c r="G29" s="27"/>
      <c r="H29" s="27"/>
      <c r="I29" s="27"/>
      <c r="J29" s="27"/>
      <c r="K29" s="27"/>
      <c r="L29" s="44"/>
      <c r="M29" s="49">
        <f>L29*Subsector!$S$11</f>
        <v>0</v>
      </c>
      <c r="N29" s="26">
        <f>L29*Subsector!$S$12</f>
        <v>0</v>
      </c>
      <c r="O29" s="26">
        <f>L29*Subsector!$S$13</f>
        <v>0</v>
      </c>
      <c r="P29" s="26">
        <f>L29*Subsector!$S$14</f>
        <v>0</v>
      </c>
      <c r="Q29" s="26">
        <f>L29*Subsector!$S$15</f>
        <v>0</v>
      </c>
      <c r="R29" s="26">
        <f>L29*Subsector!$S$16</f>
        <v>0</v>
      </c>
      <c r="S29" s="66">
        <f>L29*Subsector!$S$17</f>
        <v>0</v>
      </c>
      <c r="T29" s="97">
        <f t="shared" si="27"/>
        <v>0</v>
      </c>
      <c r="U29" s="98">
        <f t="shared" si="28"/>
        <v>0</v>
      </c>
      <c r="V29" s="26">
        <f t="shared" si="29"/>
        <v>0</v>
      </c>
      <c r="W29" s="26">
        <f t="shared" si="30"/>
        <v>0</v>
      </c>
      <c r="X29" s="26">
        <f t="shared" si="31"/>
        <v>0</v>
      </c>
      <c r="Y29" s="26">
        <f t="shared" si="32"/>
        <v>0</v>
      </c>
      <c r="Z29" s="26">
        <f t="shared" si="33"/>
        <v>0</v>
      </c>
      <c r="AA29" s="95">
        <f t="shared" si="34"/>
        <v>0</v>
      </c>
      <c r="AB29" s="91">
        <f t="shared" si="35"/>
        <v>0</v>
      </c>
    </row>
    <row r="30" spans="1:28" ht="19.95" hidden="1" customHeight="1" x14ac:dyDescent="0.3">
      <c r="A30" s="52"/>
      <c r="B30" s="24"/>
      <c r="C30" s="24">
        <v>64035</v>
      </c>
      <c r="D30" s="25" t="s">
        <v>63</v>
      </c>
      <c r="E30" s="43"/>
      <c r="F30" s="27"/>
      <c r="G30" s="27"/>
      <c r="H30" s="27"/>
      <c r="I30" s="27"/>
      <c r="J30" s="27"/>
      <c r="K30" s="27"/>
      <c r="L30" s="44"/>
      <c r="M30" s="49">
        <f>L30*Subsector!$S$11</f>
        <v>0</v>
      </c>
      <c r="N30" s="26">
        <f>L30*Subsector!$S$12</f>
        <v>0</v>
      </c>
      <c r="O30" s="26">
        <f>L30*Subsector!$S$13</f>
        <v>0</v>
      </c>
      <c r="P30" s="26">
        <f>L30*Subsector!$S$14</f>
        <v>0</v>
      </c>
      <c r="Q30" s="26">
        <f>L30*Subsector!$S$15</f>
        <v>0</v>
      </c>
      <c r="R30" s="26">
        <f>L30*Subsector!$S$16</f>
        <v>0</v>
      </c>
      <c r="S30" s="66">
        <f>L30*Subsector!$S$17</f>
        <v>0</v>
      </c>
      <c r="T30" s="97">
        <f t="shared" si="27"/>
        <v>0</v>
      </c>
      <c r="U30" s="98">
        <f t="shared" si="28"/>
        <v>0</v>
      </c>
      <c r="V30" s="26">
        <f t="shared" si="29"/>
        <v>0</v>
      </c>
      <c r="W30" s="26">
        <f t="shared" si="30"/>
        <v>0</v>
      </c>
      <c r="X30" s="26">
        <f t="shared" si="31"/>
        <v>0</v>
      </c>
      <c r="Y30" s="26">
        <f t="shared" si="32"/>
        <v>0</v>
      </c>
      <c r="Z30" s="26">
        <f t="shared" si="33"/>
        <v>0</v>
      </c>
      <c r="AA30" s="95">
        <f t="shared" si="34"/>
        <v>0</v>
      </c>
      <c r="AB30" s="91">
        <f t="shared" si="35"/>
        <v>0</v>
      </c>
    </row>
    <row r="31" spans="1:28" ht="19.95" hidden="1" customHeight="1" x14ac:dyDescent="0.3">
      <c r="A31" s="52"/>
      <c r="B31" s="24"/>
      <c r="C31" s="24">
        <v>64037</v>
      </c>
      <c r="D31" s="25" t="s">
        <v>64</v>
      </c>
      <c r="E31" s="43"/>
      <c r="F31" s="27"/>
      <c r="G31" s="27"/>
      <c r="H31" s="27"/>
      <c r="I31" s="27"/>
      <c r="J31" s="27"/>
      <c r="K31" s="27"/>
      <c r="L31" s="44"/>
      <c r="M31" s="49">
        <f>L31*Subsector!$S$11</f>
        <v>0</v>
      </c>
      <c r="N31" s="26">
        <f>L31*Subsector!$S$12</f>
        <v>0</v>
      </c>
      <c r="O31" s="26">
        <f>L31*Subsector!$S$13</f>
        <v>0</v>
      </c>
      <c r="P31" s="26">
        <f>L31*Subsector!$S$14</f>
        <v>0</v>
      </c>
      <c r="Q31" s="26">
        <f>L31*Subsector!$S$15</f>
        <v>0</v>
      </c>
      <c r="R31" s="26">
        <f>L31*Subsector!$S$16</f>
        <v>0</v>
      </c>
      <c r="S31" s="66">
        <f>L31*Subsector!$S$17</f>
        <v>0</v>
      </c>
      <c r="T31" s="97">
        <f t="shared" si="27"/>
        <v>0</v>
      </c>
      <c r="U31" s="98">
        <f t="shared" si="28"/>
        <v>0</v>
      </c>
      <c r="V31" s="26">
        <f t="shared" si="29"/>
        <v>0</v>
      </c>
      <c r="W31" s="26">
        <f t="shared" si="30"/>
        <v>0</v>
      </c>
      <c r="X31" s="26">
        <f t="shared" si="31"/>
        <v>0</v>
      </c>
      <c r="Y31" s="26">
        <f t="shared" si="32"/>
        <v>0</v>
      </c>
      <c r="Z31" s="26">
        <f t="shared" si="33"/>
        <v>0</v>
      </c>
      <c r="AA31" s="95">
        <f t="shared" si="34"/>
        <v>0</v>
      </c>
      <c r="AB31" s="91">
        <f t="shared" si="35"/>
        <v>0</v>
      </c>
    </row>
    <row r="32" spans="1:28" ht="19.95" hidden="1" customHeight="1" x14ac:dyDescent="0.3">
      <c r="A32" s="52"/>
      <c r="B32" s="24"/>
      <c r="C32" s="24">
        <v>64038</v>
      </c>
      <c r="D32" s="25" t="s">
        <v>60</v>
      </c>
      <c r="E32" s="43"/>
      <c r="F32" s="27"/>
      <c r="G32" s="27"/>
      <c r="H32" s="27"/>
      <c r="I32" s="27"/>
      <c r="J32" s="27"/>
      <c r="K32" s="27"/>
      <c r="L32" s="44"/>
      <c r="M32" s="49">
        <f>L32*Subsector!$S$11</f>
        <v>0</v>
      </c>
      <c r="N32" s="26">
        <f>L32*Subsector!$S$12</f>
        <v>0</v>
      </c>
      <c r="O32" s="26">
        <f>L32*Subsector!$S$13</f>
        <v>0</v>
      </c>
      <c r="P32" s="26">
        <f>L32*Subsector!$S$14</f>
        <v>0</v>
      </c>
      <c r="Q32" s="26">
        <f>L32*Subsector!$S$15</f>
        <v>0</v>
      </c>
      <c r="R32" s="26">
        <f>L32*Subsector!$S$16</f>
        <v>0</v>
      </c>
      <c r="S32" s="66">
        <f>L32*Subsector!$S$17</f>
        <v>0</v>
      </c>
      <c r="T32" s="97">
        <f t="shared" si="27"/>
        <v>0</v>
      </c>
      <c r="U32" s="98">
        <f t="shared" si="28"/>
        <v>0</v>
      </c>
      <c r="V32" s="26">
        <f t="shared" si="29"/>
        <v>0</v>
      </c>
      <c r="W32" s="26">
        <f t="shared" si="30"/>
        <v>0</v>
      </c>
      <c r="X32" s="26">
        <f t="shared" si="31"/>
        <v>0</v>
      </c>
      <c r="Y32" s="26">
        <f t="shared" si="32"/>
        <v>0</v>
      </c>
      <c r="Z32" s="26">
        <f t="shared" si="33"/>
        <v>0</v>
      </c>
      <c r="AA32" s="95">
        <f t="shared" si="34"/>
        <v>0</v>
      </c>
      <c r="AB32" s="91">
        <f t="shared" si="35"/>
        <v>0</v>
      </c>
    </row>
    <row r="33" spans="1:28" ht="19.95" customHeight="1" x14ac:dyDescent="0.3">
      <c r="A33" s="51"/>
      <c r="B33" s="23">
        <v>6404</v>
      </c>
      <c r="C33" s="23"/>
      <c r="D33" s="21" t="s">
        <v>65</v>
      </c>
      <c r="E33" s="39">
        <f>SUM(E34:E36)</f>
        <v>0</v>
      </c>
      <c r="F33" s="22">
        <f t="shared" ref="F33:AB33" si="36">SUM(F34:F36)</f>
        <v>0</v>
      </c>
      <c r="G33" s="22">
        <f t="shared" si="36"/>
        <v>75.899999999999991</v>
      </c>
      <c r="H33" s="22">
        <f t="shared" si="36"/>
        <v>0</v>
      </c>
      <c r="I33" s="22">
        <f t="shared" si="36"/>
        <v>0</v>
      </c>
      <c r="J33" s="22">
        <f t="shared" si="36"/>
        <v>0</v>
      </c>
      <c r="K33" s="22">
        <f t="shared" si="36"/>
        <v>0</v>
      </c>
      <c r="L33" s="40">
        <f t="shared" si="36"/>
        <v>0</v>
      </c>
      <c r="M33" s="36">
        <f t="shared" si="36"/>
        <v>0</v>
      </c>
      <c r="N33" s="22">
        <f t="shared" si="36"/>
        <v>0</v>
      </c>
      <c r="O33" s="22">
        <f t="shared" si="36"/>
        <v>0</v>
      </c>
      <c r="P33" s="22">
        <f t="shared" si="36"/>
        <v>0</v>
      </c>
      <c r="Q33" s="22">
        <f t="shared" si="36"/>
        <v>0</v>
      </c>
      <c r="R33" s="22">
        <f t="shared" si="36"/>
        <v>0</v>
      </c>
      <c r="S33" s="65">
        <f t="shared" si="36"/>
        <v>0</v>
      </c>
      <c r="T33" s="84">
        <f t="shared" ref="T33:AA33" si="37">SUM(T34:T36)</f>
        <v>75.900000000000006</v>
      </c>
      <c r="U33" s="87">
        <f t="shared" si="37"/>
        <v>0</v>
      </c>
      <c r="V33" s="22">
        <f t="shared" si="37"/>
        <v>0</v>
      </c>
      <c r="W33" s="22">
        <f t="shared" si="37"/>
        <v>0</v>
      </c>
      <c r="X33" s="22">
        <f t="shared" si="37"/>
        <v>0</v>
      </c>
      <c r="Y33" s="22">
        <f t="shared" si="37"/>
        <v>0</v>
      </c>
      <c r="Z33" s="22">
        <f t="shared" si="37"/>
        <v>0</v>
      </c>
      <c r="AA33" s="94">
        <f t="shared" si="37"/>
        <v>0</v>
      </c>
      <c r="AB33" s="90">
        <f t="shared" si="36"/>
        <v>75.900000000000006</v>
      </c>
    </row>
    <row r="34" spans="1:28" ht="19.95" customHeight="1" x14ac:dyDescent="0.3">
      <c r="A34" s="52"/>
      <c r="B34" s="24"/>
      <c r="C34" s="24">
        <v>64041</v>
      </c>
      <c r="D34" s="25" t="s">
        <v>66</v>
      </c>
      <c r="E34" s="43">
        <v>0</v>
      </c>
      <c r="F34" s="27">
        <v>0</v>
      </c>
      <c r="G34" s="27">
        <v>75.899999999999991</v>
      </c>
      <c r="H34" s="27"/>
      <c r="I34" s="27">
        <v>0</v>
      </c>
      <c r="J34" s="27"/>
      <c r="K34" s="27">
        <v>0</v>
      </c>
      <c r="L34" s="44">
        <v>0</v>
      </c>
      <c r="M34" s="49">
        <f>L34*Subsector!$S$11</f>
        <v>0</v>
      </c>
      <c r="N34" s="26">
        <f>L34*Subsector!$S$12</f>
        <v>0</v>
      </c>
      <c r="O34" s="26">
        <f>L34*Subsector!$S$13</f>
        <v>0</v>
      </c>
      <c r="P34" s="26">
        <f>L34*Subsector!$S$14</f>
        <v>0</v>
      </c>
      <c r="Q34" s="26">
        <f>L34*Subsector!$S$15</f>
        <v>0</v>
      </c>
      <c r="R34" s="26">
        <f>L34*Subsector!$S$16</f>
        <v>0</v>
      </c>
      <c r="S34" s="66">
        <f>L34*Subsector!$S$17</f>
        <v>0</v>
      </c>
      <c r="T34" s="97">
        <f t="shared" ref="T34:T36" si="38">ROUNDUP(SUM(G34),1)</f>
        <v>75.900000000000006</v>
      </c>
      <c r="U34" s="98">
        <f t="shared" ref="U34:U36" si="39">ROUNDUP(SUM(E34,M34),1)</f>
        <v>0</v>
      </c>
      <c r="V34" s="26">
        <f t="shared" ref="V34:V36" si="40">ROUNDUP(SUM(F34,N34),1)</f>
        <v>0</v>
      </c>
      <c r="W34" s="26">
        <f t="shared" ref="W34:W36" si="41">ROUNDUP(SUM(O34),1)</f>
        <v>0</v>
      </c>
      <c r="X34" s="26">
        <f t="shared" ref="X34:X36" si="42">ROUNDUP(SUM(I34,Q34),1)</f>
        <v>0</v>
      </c>
      <c r="Y34" s="26">
        <f t="shared" ref="Y34:Y36" si="43">ROUNDUP(SUM(J34,R34),1)</f>
        <v>0</v>
      </c>
      <c r="Z34" s="26">
        <f t="shared" ref="Z34:Z36" si="44">ROUNDUP(SUM(K34,S34),1)</f>
        <v>0</v>
      </c>
      <c r="AA34" s="95">
        <f t="shared" ref="AA34:AA36" si="45">SUM(U34:Z34)</f>
        <v>0</v>
      </c>
      <c r="AB34" s="91">
        <f t="shared" ref="AB34:AB36" si="46">SUM(T34,AA34)</f>
        <v>75.900000000000006</v>
      </c>
    </row>
    <row r="35" spans="1:28" ht="19.95" hidden="1" customHeight="1" x14ac:dyDescent="0.3">
      <c r="A35" s="52"/>
      <c r="B35" s="24"/>
      <c r="C35" s="24">
        <v>64042</v>
      </c>
      <c r="D35" s="25" t="s">
        <v>67</v>
      </c>
      <c r="E35" s="43"/>
      <c r="F35" s="27"/>
      <c r="G35" s="27"/>
      <c r="H35" s="27"/>
      <c r="I35" s="27"/>
      <c r="J35" s="27"/>
      <c r="K35" s="27"/>
      <c r="L35" s="44"/>
      <c r="M35" s="49">
        <f>L35*Subsector!$S$11</f>
        <v>0</v>
      </c>
      <c r="N35" s="26">
        <f>L35*Subsector!$S$12</f>
        <v>0</v>
      </c>
      <c r="O35" s="26">
        <f>L35*Subsector!$S$13</f>
        <v>0</v>
      </c>
      <c r="P35" s="26">
        <f>L35*Subsector!$S$14</f>
        <v>0</v>
      </c>
      <c r="Q35" s="26">
        <f>L35*Subsector!$S$15</f>
        <v>0</v>
      </c>
      <c r="R35" s="26">
        <f>L35*Subsector!$S$16</f>
        <v>0</v>
      </c>
      <c r="S35" s="66">
        <f>L35*Subsector!$S$17</f>
        <v>0</v>
      </c>
      <c r="T35" s="97">
        <f t="shared" si="38"/>
        <v>0</v>
      </c>
      <c r="U35" s="98">
        <f t="shared" si="39"/>
        <v>0</v>
      </c>
      <c r="V35" s="26">
        <f t="shared" si="40"/>
        <v>0</v>
      </c>
      <c r="W35" s="26">
        <f t="shared" si="41"/>
        <v>0</v>
      </c>
      <c r="X35" s="26">
        <f t="shared" si="42"/>
        <v>0</v>
      </c>
      <c r="Y35" s="26">
        <f t="shared" si="43"/>
        <v>0</v>
      </c>
      <c r="Z35" s="26">
        <f t="shared" si="44"/>
        <v>0</v>
      </c>
      <c r="AA35" s="95">
        <f t="shared" si="45"/>
        <v>0</v>
      </c>
      <c r="AB35" s="91">
        <f t="shared" si="46"/>
        <v>0</v>
      </c>
    </row>
    <row r="36" spans="1:28" ht="19.95" hidden="1" customHeight="1" x14ac:dyDescent="0.3">
      <c r="A36" s="53"/>
      <c r="B36" s="23"/>
      <c r="C36" s="24">
        <v>64048</v>
      </c>
      <c r="D36" s="25" t="s">
        <v>68</v>
      </c>
      <c r="E36" s="43"/>
      <c r="F36" s="27"/>
      <c r="G36" s="27"/>
      <c r="H36" s="27"/>
      <c r="I36" s="27"/>
      <c r="J36" s="27"/>
      <c r="K36" s="27"/>
      <c r="L36" s="44"/>
      <c r="M36" s="49">
        <f>L36*Subsector!$S$11</f>
        <v>0</v>
      </c>
      <c r="N36" s="26">
        <f>L36*Subsector!$S$12</f>
        <v>0</v>
      </c>
      <c r="O36" s="26">
        <f>L36*Subsector!$S$13</f>
        <v>0</v>
      </c>
      <c r="P36" s="26">
        <f>L36*Subsector!$S$14</f>
        <v>0</v>
      </c>
      <c r="Q36" s="26">
        <f>L36*Subsector!$S$15</f>
        <v>0</v>
      </c>
      <c r="R36" s="26">
        <f>L36*Subsector!$S$16</f>
        <v>0</v>
      </c>
      <c r="S36" s="66">
        <f>L36*Subsector!$S$17</f>
        <v>0</v>
      </c>
      <c r="T36" s="97">
        <f t="shared" si="38"/>
        <v>0</v>
      </c>
      <c r="U36" s="98">
        <f t="shared" si="39"/>
        <v>0</v>
      </c>
      <c r="V36" s="26">
        <f t="shared" si="40"/>
        <v>0</v>
      </c>
      <c r="W36" s="26">
        <f t="shared" si="41"/>
        <v>0</v>
      </c>
      <c r="X36" s="26">
        <f t="shared" si="42"/>
        <v>0</v>
      </c>
      <c r="Y36" s="26">
        <f t="shared" si="43"/>
        <v>0</v>
      </c>
      <c r="Z36" s="26">
        <f t="shared" si="44"/>
        <v>0</v>
      </c>
      <c r="AA36" s="95">
        <f t="shared" si="45"/>
        <v>0</v>
      </c>
      <c r="AB36" s="91">
        <f t="shared" si="46"/>
        <v>0</v>
      </c>
    </row>
    <row r="37" spans="1:28" ht="19.95" customHeight="1" x14ac:dyDescent="0.3">
      <c r="A37" s="54"/>
      <c r="B37" s="23">
        <v>6405</v>
      </c>
      <c r="C37" s="23"/>
      <c r="D37" s="21" t="s">
        <v>69</v>
      </c>
      <c r="E37" s="39">
        <f>SUM(E38:E44)</f>
        <v>1.6</v>
      </c>
      <c r="F37" s="22">
        <f t="shared" ref="F37:AB37" si="47">SUM(F38:F44)</f>
        <v>0.8</v>
      </c>
      <c r="G37" s="22">
        <f t="shared" si="47"/>
        <v>88.7</v>
      </c>
      <c r="H37" s="22">
        <f t="shared" si="47"/>
        <v>0</v>
      </c>
      <c r="I37" s="22">
        <f t="shared" si="47"/>
        <v>0</v>
      </c>
      <c r="J37" s="22">
        <f t="shared" si="47"/>
        <v>0</v>
      </c>
      <c r="K37" s="22">
        <f t="shared" si="47"/>
        <v>0</v>
      </c>
      <c r="L37" s="40">
        <f t="shared" si="47"/>
        <v>11.8</v>
      </c>
      <c r="M37" s="36">
        <f t="shared" si="47"/>
        <v>4.1832963014094691E-2</v>
      </c>
      <c r="N37" s="22">
        <f t="shared" si="47"/>
        <v>7.1025055808368265</v>
      </c>
      <c r="O37" s="22">
        <f t="shared" si="47"/>
        <v>4.451322339236734</v>
      </c>
      <c r="P37" s="22">
        <f t="shared" si="47"/>
        <v>0</v>
      </c>
      <c r="Q37" s="22">
        <f t="shared" si="47"/>
        <v>0.14815200714763882</v>
      </c>
      <c r="R37" s="22">
        <f t="shared" si="47"/>
        <v>0</v>
      </c>
      <c r="S37" s="65">
        <f t="shared" si="47"/>
        <v>5.6187109764706172E-2</v>
      </c>
      <c r="T37" s="84">
        <f t="shared" ref="T37:AA37" si="48">SUM(T38:T44)</f>
        <v>88.7</v>
      </c>
      <c r="U37" s="87">
        <f t="shared" si="48"/>
        <v>1.8000000000000003</v>
      </c>
      <c r="V37" s="22">
        <f t="shared" si="48"/>
        <v>8</v>
      </c>
      <c r="W37" s="22">
        <f t="shared" si="48"/>
        <v>4.6000000000000005</v>
      </c>
      <c r="X37" s="22">
        <f t="shared" si="48"/>
        <v>0.30000000000000004</v>
      </c>
      <c r="Y37" s="22">
        <f t="shared" si="48"/>
        <v>0</v>
      </c>
      <c r="Z37" s="22">
        <f t="shared" si="48"/>
        <v>0.2</v>
      </c>
      <c r="AA37" s="94">
        <f t="shared" si="48"/>
        <v>14.899999999999999</v>
      </c>
      <c r="AB37" s="90">
        <f t="shared" si="47"/>
        <v>103.6</v>
      </c>
    </row>
    <row r="38" spans="1:28" ht="19.95" customHeight="1" x14ac:dyDescent="0.3">
      <c r="A38" s="55"/>
      <c r="B38" s="23"/>
      <c r="C38" s="24">
        <v>64051</v>
      </c>
      <c r="D38" s="25" t="s">
        <v>70</v>
      </c>
      <c r="E38" s="43"/>
      <c r="F38" s="27"/>
      <c r="G38" s="27"/>
      <c r="H38" s="27"/>
      <c r="I38" s="27"/>
      <c r="J38" s="27"/>
      <c r="K38" s="27"/>
      <c r="L38" s="44"/>
      <c r="M38" s="49">
        <f>L38*Subsector!$S$11</f>
        <v>0</v>
      </c>
      <c r="N38" s="26">
        <f>L38*Subsector!$S$12</f>
        <v>0</v>
      </c>
      <c r="O38" s="26">
        <f>L38*Subsector!$S$13</f>
        <v>0</v>
      </c>
      <c r="P38" s="26">
        <f>L38*Subsector!$S$14</f>
        <v>0</v>
      </c>
      <c r="Q38" s="26">
        <f>L38*Subsector!$S$15</f>
        <v>0</v>
      </c>
      <c r="R38" s="26">
        <f>L38*Subsector!$S$16</f>
        <v>0</v>
      </c>
      <c r="S38" s="66">
        <f>L38*Subsector!$S$17</f>
        <v>0</v>
      </c>
      <c r="T38" s="97">
        <f t="shared" ref="T38:T44" si="49">ROUNDUP(SUM(G38),1)</f>
        <v>0</v>
      </c>
      <c r="U38" s="98">
        <f t="shared" ref="U38:U44" si="50">ROUNDUP(SUM(E38,M38),1)</f>
        <v>0</v>
      </c>
      <c r="V38" s="26">
        <f t="shared" ref="V38:V44" si="51">ROUNDUP(SUM(F38,N38),1)</f>
        <v>0</v>
      </c>
      <c r="W38" s="26">
        <f t="shared" ref="W38:W44" si="52">ROUNDUP(SUM(O38),1)</f>
        <v>0</v>
      </c>
      <c r="X38" s="26">
        <f t="shared" ref="X38:X44" si="53">ROUNDUP(SUM(I38,Q38),1)</f>
        <v>0</v>
      </c>
      <c r="Y38" s="26">
        <f t="shared" ref="Y38:Y44" si="54">ROUNDUP(SUM(J38,R38),1)</f>
        <v>0</v>
      </c>
      <c r="Z38" s="26">
        <f t="shared" ref="Z38:Z44" si="55">ROUNDUP(SUM(K38,S38),1)</f>
        <v>0</v>
      </c>
      <c r="AA38" s="95">
        <f t="shared" ref="AA38:AA44" si="56">SUM(U38:Z38)</f>
        <v>0</v>
      </c>
      <c r="AB38" s="91">
        <f t="shared" ref="AB38:AB44" si="57">SUM(T38,AA38)</f>
        <v>0</v>
      </c>
    </row>
    <row r="39" spans="1:28" ht="19.95" customHeight="1" x14ac:dyDescent="0.3">
      <c r="A39" s="55"/>
      <c r="B39" s="24"/>
      <c r="C39" s="24">
        <v>64052</v>
      </c>
      <c r="D39" s="25" t="s">
        <v>71</v>
      </c>
      <c r="E39" s="43">
        <v>1.6</v>
      </c>
      <c r="F39" s="27">
        <v>0.8</v>
      </c>
      <c r="G39" s="27">
        <v>48</v>
      </c>
      <c r="H39" s="27"/>
      <c r="I39" s="27">
        <v>0</v>
      </c>
      <c r="J39" s="27"/>
      <c r="K39" s="27">
        <v>0</v>
      </c>
      <c r="L39" s="44">
        <v>3.2</v>
      </c>
      <c r="M39" s="49">
        <f>L39*Subsector!$S$11</f>
        <v>1.1344532342805341E-2</v>
      </c>
      <c r="N39" s="26">
        <f>L39*Subsector!$S$12</f>
        <v>1.9261032083625294</v>
      </c>
      <c r="O39" s="26">
        <f>L39*Subsector!$S$13</f>
        <v>1.207138261487928</v>
      </c>
      <c r="P39" s="26">
        <f>L39*Subsector!$S$14</f>
        <v>0</v>
      </c>
      <c r="Q39" s="26">
        <f>L39*Subsector!$S$15</f>
        <v>4.0176815497664775E-2</v>
      </c>
      <c r="R39" s="26">
        <f>L39*Subsector!$S$16</f>
        <v>0</v>
      </c>
      <c r="S39" s="66">
        <f>L39*Subsector!$S$17</f>
        <v>1.5237182309072861E-2</v>
      </c>
      <c r="T39" s="97">
        <f t="shared" si="49"/>
        <v>48</v>
      </c>
      <c r="U39" s="98">
        <f t="shared" si="50"/>
        <v>1.7000000000000002</v>
      </c>
      <c r="V39" s="26">
        <f t="shared" si="51"/>
        <v>2.8000000000000003</v>
      </c>
      <c r="W39" s="26">
        <f t="shared" si="52"/>
        <v>1.3</v>
      </c>
      <c r="X39" s="26">
        <f t="shared" si="53"/>
        <v>0.1</v>
      </c>
      <c r="Y39" s="26">
        <f t="shared" si="54"/>
        <v>0</v>
      </c>
      <c r="Z39" s="26">
        <f t="shared" si="55"/>
        <v>0.1</v>
      </c>
      <c r="AA39" s="95">
        <f t="shared" si="56"/>
        <v>5.9999999999999991</v>
      </c>
      <c r="AB39" s="91">
        <f t="shared" si="57"/>
        <v>54</v>
      </c>
    </row>
    <row r="40" spans="1:28" ht="19.95" customHeight="1" x14ac:dyDescent="0.3">
      <c r="A40" s="55"/>
      <c r="B40" s="24"/>
      <c r="C40" s="24">
        <v>64053</v>
      </c>
      <c r="D40" s="25" t="s">
        <v>72</v>
      </c>
      <c r="E40" s="43">
        <v>0</v>
      </c>
      <c r="F40" s="27">
        <v>0</v>
      </c>
      <c r="G40" s="27">
        <v>15.299999999999999</v>
      </c>
      <c r="H40" s="27"/>
      <c r="I40" s="27">
        <v>0</v>
      </c>
      <c r="J40" s="27"/>
      <c r="K40" s="27">
        <v>0</v>
      </c>
      <c r="L40" s="44">
        <v>0</v>
      </c>
      <c r="M40" s="49">
        <f>L40*Subsector!$S$11</f>
        <v>0</v>
      </c>
      <c r="N40" s="26">
        <f>L40*Subsector!$S$12</f>
        <v>0</v>
      </c>
      <c r="O40" s="26">
        <f>L40*Subsector!$S$13</f>
        <v>0</v>
      </c>
      <c r="P40" s="26">
        <f>L40*Subsector!$S$14</f>
        <v>0</v>
      </c>
      <c r="Q40" s="26">
        <f>L40*Subsector!$S$15</f>
        <v>0</v>
      </c>
      <c r="R40" s="26">
        <f>L40*Subsector!$S$16</f>
        <v>0</v>
      </c>
      <c r="S40" s="66">
        <f>L40*Subsector!$S$17</f>
        <v>0</v>
      </c>
      <c r="T40" s="97">
        <f t="shared" si="49"/>
        <v>15.3</v>
      </c>
      <c r="U40" s="98">
        <f t="shared" si="50"/>
        <v>0</v>
      </c>
      <c r="V40" s="26">
        <f t="shared" si="51"/>
        <v>0</v>
      </c>
      <c r="W40" s="26">
        <f t="shared" si="52"/>
        <v>0</v>
      </c>
      <c r="X40" s="26">
        <f t="shared" si="53"/>
        <v>0</v>
      </c>
      <c r="Y40" s="26">
        <f t="shared" si="54"/>
        <v>0</v>
      </c>
      <c r="Z40" s="26">
        <f t="shared" si="55"/>
        <v>0</v>
      </c>
      <c r="AA40" s="95">
        <f t="shared" si="56"/>
        <v>0</v>
      </c>
      <c r="AB40" s="91">
        <f t="shared" si="57"/>
        <v>15.3</v>
      </c>
    </row>
    <row r="41" spans="1:28" ht="19.95" customHeight="1" x14ac:dyDescent="0.3">
      <c r="A41" s="55"/>
      <c r="B41" s="24"/>
      <c r="C41" s="24">
        <v>64054</v>
      </c>
      <c r="D41" s="25" t="s">
        <v>73</v>
      </c>
      <c r="E41" s="43">
        <v>0</v>
      </c>
      <c r="F41" s="27">
        <v>0</v>
      </c>
      <c r="G41" s="27">
        <v>15.4</v>
      </c>
      <c r="H41" s="27"/>
      <c r="I41" s="27">
        <v>0</v>
      </c>
      <c r="J41" s="27"/>
      <c r="K41" s="27">
        <v>0</v>
      </c>
      <c r="L41" s="44">
        <v>8.6</v>
      </c>
      <c r="M41" s="49">
        <f>L41*Subsector!$S$11</f>
        <v>3.0488430671289351E-2</v>
      </c>
      <c r="N41" s="26">
        <f>L41*Subsector!$S$12</f>
        <v>5.1764023724742971</v>
      </c>
      <c r="O41" s="26">
        <f>L41*Subsector!$S$13</f>
        <v>3.2441840777488062</v>
      </c>
      <c r="P41" s="26">
        <f>L41*Subsector!$S$14</f>
        <v>0</v>
      </c>
      <c r="Q41" s="26">
        <f>L41*Subsector!$S$15</f>
        <v>0.10797519164997406</v>
      </c>
      <c r="R41" s="26">
        <f>L41*Subsector!$S$16</f>
        <v>0</v>
      </c>
      <c r="S41" s="66">
        <f>L41*Subsector!$S$17</f>
        <v>4.0949927455633313E-2</v>
      </c>
      <c r="T41" s="97">
        <f t="shared" si="49"/>
        <v>15.4</v>
      </c>
      <c r="U41" s="98">
        <f t="shared" si="50"/>
        <v>0.1</v>
      </c>
      <c r="V41" s="26">
        <f t="shared" si="51"/>
        <v>5.1999999999999993</v>
      </c>
      <c r="W41" s="26">
        <f t="shared" si="52"/>
        <v>3.3000000000000003</v>
      </c>
      <c r="X41" s="26">
        <f t="shared" si="53"/>
        <v>0.2</v>
      </c>
      <c r="Y41" s="26">
        <f t="shared" si="54"/>
        <v>0</v>
      </c>
      <c r="Z41" s="26">
        <f t="shared" si="55"/>
        <v>0.1</v>
      </c>
      <c r="AA41" s="95">
        <f t="shared" si="56"/>
        <v>8.8999999999999986</v>
      </c>
      <c r="AB41" s="91">
        <f t="shared" si="57"/>
        <v>24.299999999999997</v>
      </c>
    </row>
    <row r="42" spans="1:28" ht="19.95" customHeight="1" x14ac:dyDescent="0.3">
      <c r="A42" s="55"/>
      <c r="B42" s="24"/>
      <c r="C42" s="24">
        <v>64055</v>
      </c>
      <c r="D42" s="25" t="s">
        <v>74</v>
      </c>
      <c r="E42" s="43"/>
      <c r="F42" s="27"/>
      <c r="G42" s="27">
        <v>10</v>
      </c>
      <c r="H42" s="27"/>
      <c r="I42" s="27"/>
      <c r="J42" s="27"/>
      <c r="K42" s="27"/>
      <c r="L42" s="44"/>
      <c r="M42" s="49">
        <f>L42*Subsector!$S$11</f>
        <v>0</v>
      </c>
      <c r="N42" s="26">
        <f>L42*Subsector!$S$12</f>
        <v>0</v>
      </c>
      <c r="O42" s="26">
        <f>L42*Subsector!$S$13</f>
        <v>0</v>
      </c>
      <c r="P42" s="26">
        <f>L42*Subsector!$S$14</f>
        <v>0</v>
      </c>
      <c r="Q42" s="26">
        <f>L42*Subsector!$S$15</f>
        <v>0</v>
      </c>
      <c r="R42" s="26">
        <f>L42*Subsector!$S$16</f>
        <v>0</v>
      </c>
      <c r="S42" s="66">
        <f>L42*Subsector!$S$17</f>
        <v>0</v>
      </c>
      <c r="T42" s="97">
        <f t="shared" si="49"/>
        <v>10</v>
      </c>
      <c r="U42" s="98">
        <f t="shared" si="50"/>
        <v>0</v>
      </c>
      <c r="V42" s="26">
        <f t="shared" si="51"/>
        <v>0</v>
      </c>
      <c r="W42" s="26">
        <f t="shared" si="52"/>
        <v>0</v>
      </c>
      <c r="X42" s="26">
        <f t="shared" si="53"/>
        <v>0</v>
      </c>
      <c r="Y42" s="26">
        <f t="shared" si="54"/>
        <v>0</v>
      </c>
      <c r="Z42" s="26">
        <f t="shared" si="55"/>
        <v>0</v>
      </c>
      <c r="AA42" s="95">
        <f t="shared" si="56"/>
        <v>0</v>
      </c>
      <c r="AB42" s="91">
        <f t="shared" si="57"/>
        <v>10</v>
      </c>
    </row>
    <row r="43" spans="1:28" ht="19.95" hidden="1" customHeight="1" x14ac:dyDescent="0.3">
      <c r="A43" s="55"/>
      <c r="B43" s="24"/>
      <c r="C43" s="24">
        <v>64056</v>
      </c>
      <c r="D43" s="25" t="s">
        <v>75</v>
      </c>
      <c r="E43" s="43"/>
      <c r="F43" s="27"/>
      <c r="G43" s="27"/>
      <c r="H43" s="27"/>
      <c r="I43" s="27"/>
      <c r="J43" s="27"/>
      <c r="K43" s="27"/>
      <c r="L43" s="44"/>
      <c r="M43" s="49">
        <f>L43*Subsector!$S$11</f>
        <v>0</v>
      </c>
      <c r="N43" s="26">
        <f>L43*Subsector!$S$12</f>
        <v>0</v>
      </c>
      <c r="O43" s="26">
        <f>L43*Subsector!$S$13</f>
        <v>0</v>
      </c>
      <c r="P43" s="26">
        <f>L43*Subsector!$S$14</f>
        <v>0</v>
      </c>
      <c r="Q43" s="26">
        <f>L43*Subsector!$S$15</f>
        <v>0</v>
      </c>
      <c r="R43" s="26">
        <f>L43*Subsector!$S$16</f>
        <v>0</v>
      </c>
      <c r="S43" s="66">
        <f>L43*Subsector!$S$17</f>
        <v>0</v>
      </c>
      <c r="T43" s="97">
        <f t="shared" si="49"/>
        <v>0</v>
      </c>
      <c r="U43" s="98">
        <f t="shared" si="50"/>
        <v>0</v>
      </c>
      <c r="V43" s="26">
        <f t="shared" si="51"/>
        <v>0</v>
      </c>
      <c r="W43" s="26">
        <f t="shared" si="52"/>
        <v>0</v>
      </c>
      <c r="X43" s="26">
        <f t="shared" si="53"/>
        <v>0</v>
      </c>
      <c r="Y43" s="26">
        <f t="shared" si="54"/>
        <v>0</v>
      </c>
      <c r="Z43" s="26">
        <f t="shared" si="55"/>
        <v>0</v>
      </c>
      <c r="AA43" s="95">
        <f t="shared" si="56"/>
        <v>0</v>
      </c>
      <c r="AB43" s="91">
        <f t="shared" si="57"/>
        <v>0</v>
      </c>
    </row>
    <row r="44" spans="1:28" ht="19.95" hidden="1" customHeight="1" x14ac:dyDescent="0.3">
      <c r="A44" s="55"/>
      <c r="B44" s="24"/>
      <c r="C44" s="24">
        <v>64058</v>
      </c>
      <c r="D44" s="25" t="s">
        <v>76</v>
      </c>
      <c r="E44" s="43"/>
      <c r="F44" s="27"/>
      <c r="G44" s="27"/>
      <c r="H44" s="27"/>
      <c r="I44" s="27"/>
      <c r="J44" s="27"/>
      <c r="K44" s="27"/>
      <c r="L44" s="44"/>
      <c r="M44" s="49">
        <f>L44*Subsector!$S$11</f>
        <v>0</v>
      </c>
      <c r="N44" s="26">
        <f>L44*Subsector!$S$12</f>
        <v>0</v>
      </c>
      <c r="O44" s="26">
        <f>L44*Subsector!$S$13</f>
        <v>0</v>
      </c>
      <c r="P44" s="26">
        <f>L44*Subsector!$S$14</f>
        <v>0</v>
      </c>
      <c r="Q44" s="26">
        <f>L44*Subsector!$S$15</f>
        <v>0</v>
      </c>
      <c r="R44" s="26">
        <f>L44*Subsector!$S$16</f>
        <v>0</v>
      </c>
      <c r="S44" s="66">
        <f>L44*Subsector!$S$17</f>
        <v>0</v>
      </c>
      <c r="T44" s="97">
        <f t="shared" si="49"/>
        <v>0</v>
      </c>
      <c r="U44" s="98">
        <f t="shared" si="50"/>
        <v>0</v>
      </c>
      <c r="V44" s="26">
        <f t="shared" si="51"/>
        <v>0</v>
      </c>
      <c r="W44" s="26">
        <f t="shared" si="52"/>
        <v>0</v>
      </c>
      <c r="X44" s="26">
        <f t="shared" si="53"/>
        <v>0</v>
      </c>
      <c r="Y44" s="26">
        <f t="shared" si="54"/>
        <v>0</v>
      </c>
      <c r="Z44" s="26">
        <f t="shared" si="55"/>
        <v>0</v>
      </c>
      <c r="AA44" s="95">
        <f t="shared" si="56"/>
        <v>0</v>
      </c>
      <c r="AB44" s="91">
        <f t="shared" si="57"/>
        <v>0</v>
      </c>
    </row>
    <row r="45" spans="1:28" ht="19.95" customHeight="1" x14ac:dyDescent="0.3">
      <c r="A45" s="54"/>
      <c r="B45" s="28">
        <v>6406</v>
      </c>
      <c r="C45" s="23"/>
      <c r="D45" s="21" t="s">
        <v>77</v>
      </c>
      <c r="E45" s="39">
        <f>SUM(E46:E49)</f>
        <v>1.7</v>
      </c>
      <c r="F45" s="22">
        <f t="shared" ref="F45:AB45" si="58">SUM(F46:F49)</f>
        <v>2.3000000000000003</v>
      </c>
      <c r="G45" s="22">
        <f t="shared" si="58"/>
        <v>89.5</v>
      </c>
      <c r="H45" s="22">
        <f t="shared" si="58"/>
        <v>0</v>
      </c>
      <c r="I45" s="22">
        <f t="shared" si="58"/>
        <v>1.5</v>
      </c>
      <c r="J45" s="22">
        <f t="shared" si="58"/>
        <v>0</v>
      </c>
      <c r="K45" s="22">
        <f t="shared" si="58"/>
        <v>2.6</v>
      </c>
      <c r="L45" s="40">
        <f t="shared" si="58"/>
        <v>8.5</v>
      </c>
      <c r="M45" s="36">
        <f t="shared" si="58"/>
        <v>3.0133914035576682E-2</v>
      </c>
      <c r="N45" s="22">
        <f t="shared" si="58"/>
        <v>5.1162116472129675</v>
      </c>
      <c r="O45" s="22">
        <f t="shared" si="58"/>
        <v>3.2064610070773085</v>
      </c>
      <c r="P45" s="22">
        <f t="shared" si="58"/>
        <v>0</v>
      </c>
      <c r="Q45" s="22">
        <f t="shared" si="58"/>
        <v>0.10671966616567205</v>
      </c>
      <c r="R45" s="22">
        <f t="shared" si="58"/>
        <v>0</v>
      </c>
      <c r="S45" s="65">
        <f t="shared" si="58"/>
        <v>4.0473765508474785E-2</v>
      </c>
      <c r="T45" s="84">
        <f t="shared" ref="T45:AA45" si="59">SUM(T46:T49)</f>
        <v>89.5</v>
      </c>
      <c r="U45" s="87">
        <f t="shared" si="59"/>
        <v>1.9</v>
      </c>
      <c r="V45" s="22">
        <f t="shared" si="59"/>
        <v>7.5</v>
      </c>
      <c r="W45" s="22">
        <f t="shared" si="59"/>
        <v>3.4</v>
      </c>
      <c r="X45" s="22">
        <f t="shared" si="59"/>
        <v>1.7000000000000002</v>
      </c>
      <c r="Y45" s="22">
        <f t="shared" si="59"/>
        <v>0</v>
      </c>
      <c r="Z45" s="22">
        <f t="shared" si="59"/>
        <v>2.8</v>
      </c>
      <c r="AA45" s="94">
        <f t="shared" si="59"/>
        <v>17.300000000000004</v>
      </c>
      <c r="AB45" s="90">
        <f t="shared" si="58"/>
        <v>106.80000000000001</v>
      </c>
    </row>
    <row r="46" spans="1:28" ht="19.95" customHeight="1" x14ac:dyDescent="0.3">
      <c r="A46" s="55"/>
      <c r="B46" s="28"/>
      <c r="C46" s="24">
        <v>64061</v>
      </c>
      <c r="D46" s="25" t="s">
        <v>78</v>
      </c>
      <c r="E46" s="43">
        <v>1</v>
      </c>
      <c r="F46" s="27">
        <v>1.7000000000000002</v>
      </c>
      <c r="G46" s="27">
        <v>61.5</v>
      </c>
      <c r="H46" s="27"/>
      <c r="I46" s="27">
        <v>1.1000000000000001</v>
      </c>
      <c r="J46" s="27"/>
      <c r="K46" s="27">
        <v>1.7000000000000002</v>
      </c>
      <c r="L46" s="44">
        <v>6.1</v>
      </c>
      <c r="M46" s="49">
        <f>L46*Subsector!$S$11</f>
        <v>2.1625514778472677E-2</v>
      </c>
      <c r="N46" s="26">
        <f>L46*Subsector!$S$12</f>
        <v>3.6716342409410712</v>
      </c>
      <c r="O46" s="26">
        <f>L46*Subsector!$S$13</f>
        <v>2.3011073109613625</v>
      </c>
      <c r="P46" s="26">
        <f>L46*Subsector!$S$14</f>
        <v>0</v>
      </c>
      <c r="Q46" s="26">
        <f>L46*Subsector!$S$15</f>
        <v>7.6587054542423469E-2</v>
      </c>
      <c r="R46" s="26">
        <f>L46*Subsector!$S$16</f>
        <v>0</v>
      </c>
      <c r="S46" s="66">
        <f>L46*Subsector!$S$17</f>
        <v>2.9045878776670139E-2</v>
      </c>
      <c r="T46" s="97">
        <f t="shared" ref="T46:T49" si="60">ROUNDUP(SUM(G46),1)</f>
        <v>61.5</v>
      </c>
      <c r="U46" s="98">
        <f t="shared" ref="U46:U49" si="61">ROUNDUP(SUM(E46,M46),1)</f>
        <v>1.1000000000000001</v>
      </c>
      <c r="V46" s="26">
        <f t="shared" ref="V46:V49" si="62">ROUNDUP(SUM(F46,N46),1)</f>
        <v>5.3999999999999995</v>
      </c>
      <c r="W46" s="26">
        <f t="shared" ref="W46:W49" si="63">ROUNDUP(SUM(O46),1)</f>
        <v>2.4</v>
      </c>
      <c r="X46" s="26">
        <f t="shared" ref="X46:X49" si="64">ROUNDUP(SUM(I46,Q46),1)</f>
        <v>1.2000000000000002</v>
      </c>
      <c r="Y46" s="26">
        <f t="shared" ref="Y46:Y49" si="65">ROUNDUP(SUM(J46,R46),1)</f>
        <v>0</v>
      </c>
      <c r="Z46" s="26">
        <f t="shared" ref="Z46:Z49" si="66">ROUNDUP(SUM(K46,S46),1)</f>
        <v>1.8</v>
      </c>
      <c r="AA46" s="95">
        <f t="shared" ref="AA46:AA49" si="67">SUM(U46:Z46)</f>
        <v>11.900000000000002</v>
      </c>
      <c r="AB46" s="91">
        <f t="shared" ref="AB46:AB49" si="68">SUM(T46,AA46)</f>
        <v>73.400000000000006</v>
      </c>
    </row>
    <row r="47" spans="1:28" ht="19.95" customHeight="1" x14ac:dyDescent="0.3">
      <c r="A47" s="55"/>
      <c r="B47" s="28"/>
      <c r="C47" s="24">
        <v>64063</v>
      </c>
      <c r="D47" s="25" t="s">
        <v>79</v>
      </c>
      <c r="E47" s="43">
        <v>0.7</v>
      </c>
      <c r="F47" s="27">
        <v>0.6</v>
      </c>
      <c r="G47" s="27">
        <v>28</v>
      </c>
      <c r="H47" s="27"/>
      <c r="I47" s="27">
        <v>0.4</v>
      </c>
      <c r="J47" s="27"/>
      <c r="K47" s="27">
        <v>0.9</v>
      </c>
      <c r="L47" s="44">
        <v>2.4</v>
      </c>
      <c r="M47" s="49">
        <f>L47*Subsector!$S$11</f>
        <v>8.5083992571040046E-3</v>
      </c>
      <c r="N47" s="26">
        <f>L47*Subsector!$S$12</f>
        <v>1.4445774062718968</v>
      </c>
      <c r="O47" s="26">
        <f>L47*Subsector!$S$13</f>
        <v>0.90535369611594596</v>
      </c>
      <c r="P47" s="26">
        <f>L47*Subsector!$S$14</f>
        <v>0</v>
      </c>
      <c r="Q47" s="26">
        <f>L47*Subsector!$S$15</f>
        <v>3.0132611623248574E-2</v>
      </c>
      <c r="R47" s="26">
        <f>L47*Subsector!$S$16</f>
        <v>0</v>
      </c>
      <c r="S47" s="66">
        <f>L47*Subsector!$S$17</f>
        <v>1.1427886731804645E-2</v>
      </c>
      <c r="T47" s="97">
        <f t="shared" si="60"/>
        <v>28</v>
      </c>
      <c r="U47" s="98">
        <f t="shared" si="61"/>
        <v>0.79999999999999993</v>
      </c>
      <c r="V47" s="26">
        <f t="shared" si="62"/>
        <v>2.1</v>
      </c>
      <c r="W47" s="26">
        <f t="shared" si="63"/>
        <v>1</v>
      </c>
      <c r="X47" s="26">
        <f t="shared" si="64"/>
        <v>0.5</v>
      </c>
      <c r="Y47" s="26">
        <f t="shared" si="65"/>
        <v>0</v>
      </c>
      <c r="Z47" s="26">
        <f t="shared" si="66"/>
        <v>1</v>
      </c>
      <c r="AA47" s="95">
        <f t="shared" si="67"/>
        <v>5.4</v>
      </c>
      <c r="AB47" s="91">
        <f t="shared" si="68"/>
        <v>33.4</v>
      </c>
    </row>
    <row r="48" spans="1:28" ht="19.95" hidden="1" customHeight="1" x14ac:dyDescent="0.3">
      <c r="A48" s="55"/>
      <c r="B48" s="24"/>
      <c r="C48" s="24">
        <v>64064</v>
      </c>
      <c r="D48" s="25" t="s">
        <v>80</v>
      </c>
      <c r="E48" s="43"/>
      <c r="F48" s="27"/>
      <c r="G48" s="27"/>
      <c r="H48" s="27"/>
      <c r="I48" s="27"/>
      <c r="J48" s="27"/>
      <c r="K48" s="27"/>
      <c r="L48" s="44"/>
      <c r="M48" s="49">
        <f>L48*Subsector!$S$11</f>
        <v>0</v>
      </c>
      <c r="N48" s="26">
        <f>L48*Subsector!$S$12</f>
        <v>0</v>
      </c>
      <c r="O48" s="26">
        <f>L48*Subsector!$S$13</f>
        <v>0</v>
      </c>
      <c r="P48" s="26">
        <f>L48*Subsector!$S$14</f>
        <v>0</v>
      </c>
      <c r="Q48" s="26">
        <f>L48*Subsector!$S$15</f>
        <v>0</v>
      </c>
      <c r="R48" s="26">
        <f>L48*Subsector!$S$16</f>
        <v>0</v>
      </c>
      <c r="S48" s="66">
        <f>L48*Subsector!$S$17</f>
        <v>0</v>
      </c>
      <c r="T48" s="97">
        <f t="shared" si="60"/>
        <v>0</v>
      </c>
      <c r="U48" s="98">
        <f t="shared" si="61"/>
        <v>0</v>
      </c>
      <c r="V48" s="26">
        <f t="shared" si="62"/>
        <v>0</v>
      </c>
      <c r="W48" s="26">
        <f t="shared" si="63"/>
        <v>0</v>
      </c>
      <c r="X48" s="26">
        <f t="shared" si="64"/>
        <v>0</v>
      </c>
      <c r="Y48" s="26">
        <f t="shared" si="65"/>
        <v>0</v>
      </c>
      <c r="Z48" s="26">
        <f t="shared" si="66"/>
        <v>0</v>
      </c>
      <c r="AA48" s="95">
        <f t="shared" si="67"/>
        <v>0</v>
      </c>
      <c r="AB48" s="91">
        <f t="shared" si="68"/>
        <v>0</v>
      </c>
    </row>
    <row r="49" spans="1:28" ht="19.95" hidden="1" customHeight="1" x14ac:dyDescent="0.3">
      <c r="A49" s="55"/>
      <c r="B49" s="24"/>
      <c r="C49" s="24">
        <v>64068</v>
      </c>
      <c r="D49" s="25" t="s">
        <v>81</v>
      </c>
      <c r="E49" s="43"/>
      <c r="F49" s="27"/>
      <c r="G49" s="27"/>
      <c r="H49" s="27"/>
      <c r="I49" s="27"/>
      <c r="J49" s="27"/>
      <c r="K49" s="27"/>
      <c r="L49" s="44"/>
      <c r="M49" s="49">
        <f>L49*Subsector!$S$11</f>
        <v>0</v>
      </c>
      <c r="N49" s="26">
        <f>L49*Subsector!$S$12</f>
        <v>0</v>
      </c>
      <c r="O49" s="26">
        <f>L49*Subsector!$S$13</f>
        <v>0</v>
      </c>
      <c r="P49" s="26">
        <f>L49*Subsector!$S$14</f>
        <v>0</v>
      </c>
      <c r="Q49" s="26">
        <f>L49*Subsector!$S$15</f>
        <v>0</v>
      </c>
      <c r="R49" s="26">
        <f>L49*Subsector!$S$16</f>
        <v>0</v>
      </c>
      <c r="S49" s="66">
        <f>L49*Subsector!$S$17</f>
        <v>0</v>
      </c>
      <c r="T49" s="97">
        <f t="shared" si="60"/>
        <v>0</v>
      </c>
      <c r="U49" s="98">
        <f t="shared" si="61"/>
        <v>0</v>
      </c>
      <c r="V49" s="26">
        <f t="shared" si="62"/>
        <v>0</v>
      </c>
      <c r="W49" s="26">
        <f t="shared" si="63"/>
        <v>0</v>
      </c>
      <c r="X49" s="26">
        <f t="shared" si="64"/>
        <v>0</v>
      </c>
      <c r="Y49" s="26">
        <f t="shared" si="65"/>
        <v>0</v>
      </c>
      <c r="Z49" s="26">
        <f t="shared" si="66"/>
        <v>0</v>
      </c>
      <c r="AA49" s="95">
        <f t="shared" si="67"/>
        <v>0</v>
      </c>
      <c r="AB49" s="91">
        <f t="shared" si="68"/>
        <v>0</v>
      </c>
    </row>
    <row r="50" spans="1:28" ht="19.95" hidden="1" customHeight="1" x14ac:dyDescent="0.3">
      <c r="A50" s="51"/>
      <c r="B50" s="28">
        <v>6407</v>
      </c>
      <c r="C50" s="28"/>
      <c r="D50" s="29" t="s">
        <v>82</v>
      </c>
      <c r="E50" s="39">
        <f>SUM(E51:E58)</f>
        <v>0</v>
      </c>
      <c r="F50" s="22">
        <f t="shared" ref="F50:AB50" si="69">SUM(F51:F58)</f>
        <v>0</v>
      </c>
      <c r="G50" s="22">
        <f t="shared" si="69"/>
        <v>0</v>
      </c>
      <c r="H50" s="22">
        <f t="shared" si="69"/>
        <v>0</v>
      </c>
      <c r="I50" s="22">
        <f t="shared" si="69"/>
        <v>0</v>
      </c>
      <c r="J50" s="22">
        <f t="shared" si="69"/>
        <v>0</v>
      </c>
      <c r="K50" s="22">
        <f t="shared" si="69"/>
        <v>0</v>
      </c>
      <c r="L50" s="40">
        <f t="shared" si="69"/>
        <v>0</v>
      </c>
      <c r="M50" s="36">
        <f t="shared" si="69"/>
        <v>0</v>
      </c>
      <c r="N50" s="22">
        <f t="shared" si="69"/>
        <v>0</v>
      </c>
      <c r="O50" s="22">
        <f t="shared" si="69"/>
        <v>0</v>
      </c>
      <c r="P50" s="22">
        <f t="shared" si="69"/>
        <v>0</v>
      </c>
      <c r="Q50" s="22">
        <f t="shared" si="69"/>
        <v>0</v>
      </c>
      <c r="R50" s="22">
        <f t="shared" si="69"/>
        <v>0</v>
      </c>
      <c r="S50" s="65">
        <f t="shared" si="69"/>
        <v>0</v>
      </c>
      <c r="T50" s="84">
        <f t="shared" ref="T50:AA50" si="70">SUM(T51:T58)</f>
        <v>0</v>
      </c>
      <c r="U50" s="87">
        <f t="shared" si="70"/>
        <v>0</v>
      </c>
      <c r="V50" s="22">
        <f t="shared" si="70"/>
        <v>0</v>
      </c>
      <c r="W50" s="22">
        <f t="shared" si="70"/>
        <v>0</v>
      </c>
      <c r="X50" s="22">
        <f t="shared" si="70"/>
        <v>0</v>
      </c>
      <c r="Y50" s="22">
        <f t="shared" si="70"/>
        <v>0</v>
      </c>
      <c r="Z50" s="22">
        <f t="shared" si="70"/>
        <v>0</v>
      </c>
      <c r="AA50" s="94">
        <f t="shared" si="70"/>
        <v>0</v>
      </c>
      <c r="AB50" s="90">
        <f t="shared" si="69"/>
        <v>0</v>
      </c>
    </row>
    <row r="51" spans="1:28" ht="19.95" hidden="1" customHeight="1" x14ac:dyDescent="0.3">
      <c r="A51" s="52"/>
      <c r="B51" s="28"/>
      <c r="C51" s="30">
        <v>64071</v>
      </c>
      <c r="D51" s="31" t="s">
        <v>83</v>
      </c>
      <c r="E51" s="43"/>
      <c r="F51" s="27"/>
      <c r="G51" s="27"/>
      <c r="H51" s="27"/>
      <c r="I51" s="27"/>
      <c r="J51" s="27"/>
      <c r="K51" s="27"/>
      <c r="L51" s="44"/>
      <c r="M51" s="49">
        <f>L51*Subsector!$S$11</f>
        <v>0</v>
      </c>
      <c r="N51" s="26">
        <f>L51*Subsector!$S$12</f>
        <v>0</v>
      </c>
      <c r="O51" s="26">
        <f>L51*Subsector!$S$13</f>
        <v>0</v>
      </c>
      <c r="P51" s="26">
        <f>L51*Subsector!$S$14</f>
        <v>0</v>
      </c>
      <c r="Q51" s="26">
        <f>L51*Subsector!$S$15</f>
        <v>0</v>
      </c>
      <c r="R51" s="26">
        <f>L51*Subsector!$S$16</f>
        <v>0</v>
      </c>
      <c r="S51" s="66">
        <f>L51*Subsector!$S$17</f>
        <v>0</v>
      </c>
      <c r="T51" s="97">
        <f t="shared" ref="T51:T58" si="71">ROUNDUP(SUM(G51),1)</f>
        <v>0</v>
      </c>
      <c r="U51" s="98">
        <f t="shared" ref="U51:U58" si="72">ROUNDUP(SUM(E51,M51),1)</f>
        <v>0</v>
      </c>
      <c r="V51" s="26">
        <f t="shared" ref="V51:V58" si="73">ROUNDUP(SUM(F51,N51),1)</f>
        <v>0</v>
      </c>
      <c r="W51" s="26">
        <f t="shared" ref="W51:W58" si="74">ROUNDUP(SUM(O51),1)</f>
        <v>0</v>
      </c>
      <c r="X51" s="26">
        <f t="shared" ref="X51:X58" si="75">ROUNDUP(SUM(I51,Q51),1)</f>
        <v>0</v>
      </c>
      <c r="Y51" s="26">
        <f t="shared" ref="Y51:Y58" si="76">ROUNDUP(SUM(J51,R51),1)</f>
        <v>0</v>
      </c>
      <c r="Z51" s="26">
        <f t="shared" ref="Z51:Z58" si="77">ROUNDUP(SUM(K51,S51),1)</f>
        <v>0</v>
      </c>
      <c r="AA51" s="95">
        <f t="shared" ref="AA51:AA58" si="78">SUM(U51:Z51)</f>
        <v>0</v>
      </c>
      <c r="AB51" s="91">
        <f t="shared" ref="AB51:AB58" si="79">SUM(T51,AA51)</f>
        <v>0</v>
      </c>
    </row>
    <row r="52" spans="1:28" ht="19.95" hidden="1" customHeight="1" x14ac:dyDescent="0.3">
      <c r="A52" s="52"/>
      <c r="B52" s="28"/>
      <c r="C52" s="30">
        <v>64072</v>
      </c>
      <c r="D52" s="31" t="s">
        <v>84</v>
      </c>
      <c r="E52" s="43"/>
      <c r="F52" s="27"/>
      <c r="G52" s="27"/>
      <c r="H52" s="27"/>
      <c r="I52" s="27"/>
      <c r="J52" s="27"/>
      <c r="K52" s="27"/>
      <c r="L52" s="44"/>
      <c r="M52" s="49">
        <f>L52*Subsector!$S$11</f>
        <v>0</v>
      </c>
      <c r="N52" s="26">
        <f>L52*Subsector!$S$12</f>
        <v>0</v>
      </c>
      <c r="O52" s="26">
        <f>L52*Subsector!$S$13</f>
        <v>0</v>
      </c>
      <c r="P52" s="26">
        <f>L52*Subsector!$S$14</f>
        <v>0</v>
      </c>
      <c r="Q52" s="26">
        <f>L52*Subsector!$S$15</f>
        <v>0</v>
      </c>
      <c r="R52" s="26">
        <f>L52*Subsector!$S$16</f>
        <v>0</v>
      </c>
      <c r="S52" s="66">
        <f>L52*Subsector!$S$17</f>
        <v>0</v>
      </c>
      <c r="T52" s="97">
        <f t="shared" si="71"/>
        <v>0</v>
      </c>
      <c r="U52" s="98">
        <f t="shared" si="72"/>
        <v>0</v>
      </c>
      <c r="V52" s="26">
        <f t="shared" si="73"/>
        <v>0</v>
      </c>
      <c r="W52" s="26">
        <f t="shared" si="74"/>
        <v>0</v>
      </c>
      <c r="X52" s="26">
        <f t="shared" si="75"/>
        <v>0</v>
      </c>
      <c r="Y52" s="26">
        <f t="shared" si="76"/>
        <v>0</v>
      </c>
      <c r="Z52" s="26">
        <f t="shared" si="77"/>
        <v>0</v>
      </c>
      <c r="AA52" s="95">
        <f t="shared" si="78"/>
        <v>0</v>
      </c>
      <c r="AB52" s="91">
        <f t="shared" si="79"/>
        <v>0</v>
      </c>
    </row>
    <row r="53" spans="1:28" ht="19.95" hidden="1" customHeight="1" x14ac:dyDescent="0.3">
      <c r="A53" s="52"/>
      <c r="B53" s="28"/>
      <c r="C53" s="30">
        <v>64073</v>
      </c>
      <c r="D53" s="31" t="s">
        <v>85</v>
      </c>
      <c r="E53" s="43"/>
      <c r="F53" s="27"/>
      <c r="G53" s="27"/>
      <c r="H53" s="27"/>
      <c r="I53" s="27"/>
      <c r="J53" s="27"/>
      <c r="K53" s="27"/>
      <c r="L53" s="44"/>
      <c r="M53" s="49">
        <f>L53*Subsector!$S$11</f>
        <v>0</v>
      </c>
      <c r="N53" s="26">
        <f>L53*Subsector!$S$12</f>
        <v>0</v>
      </c>
      <c r="O53" s="26">
        <f>L53*Subsector!$S$13</f>
        <v>0</v>
      </c>
      <c r="P53" s="26">
        <f>L53*Subsector!$S$14</f>
        <v>0</v>
      </c>
      <c r="Q53" s="26">
        <f>L53*Subsector!$S$15</f>
        <v>0</v>
      </c>
      <c r="R53" s="26">
        <f>L53*Subsector!$S$16</f>
        <v>0</v>
      </c>
      <c r="S53" s="66">
        <f>L53*Subsector!$S$17</f>
        <v>0</v>
      </c>
      <c r="T53" s="97">
        <f t="shared" si="71"/>
        <v>0</v>
      </c>
      <c r="U53" s="98">
        <f t="shared" si="72"/>
        <v>0</v>
      </c>
      <c r="V53" s="26">
        <f t="shared" si="73"/>
        <v>0</v>
      </c>
      <c r="W53" s="26">
        <f t="shared" si="74"/>
        <v>0</v>
      </c>
      <c r="X53" s="26">
        <f t="shared" si="75"/>
        <v>0</v>
      </c>
      <c r="Y53" s="26">
        <f t="shared" si="76"/>
        <v>0</v>
      </c>
      <c r="Z53" s="26">
        <f t="shared" si="77"/>
        <v>0</v>
      </c>
      <c r="AA53" s="95">
        <f t="shared" si="78"/>
        <v>0</v>
      </c>
      <c r="AB53" s="91">
        <f t="shared" si="79"/>
        <v>0</v>
      </c>
    </row>
    <row r="54" spans="1:28" ht="19.95" hidden="1" customHeight="1" x14ac:dyDescent="0.3">
      <c r="A54" s="52"/>
      <c r="B54" s="24"/>
      <c r="C54" s="30">
        <v>64074</v>
      </c>
      <c r="D54" s="25" t="s">
        <v>86</v>
      </c>
      <c r="E54" s="43"/>
      <c r="F54" s="27"/>
      <c r="G54" s="27"/>
      <c r="H54" s="27"/>
      <c r="I54" s="27"/>
      <c r="J54" s="27"/>
      <c r="K54" s="27"/>
      <c r="L54" s="44"/>
      <c r="M54" s="49">
        <f>L54*Subsector!$S$11</f>
        <v>0</v>
      </c>
      <c r="N54" s="26">
        <f>L54*Subsector!$S$12</f>
        <v>0</v>
      </c>
      <c r="O54" s="26">
        <f>L54*Subsector!$S$13</f>
        <v>0</v>
      </c>
      <c r="P54" s="26">
        <f>L54*Subsector!$S$14</f>
        <v>0</v>
      </c>
      <c r="Q54" s="26">
        <f>L54*Subsector!$S$15</f>
        <v>0</v>
      </c>
      <c r="R54" s="26">
        <f>L54*Subsector!$S$16</f>
        <v>0</v>
      </c>
      <c r="S54" s="66">
        <f>L54*Subsector!$S$17</f>
        <v>0</v>
      </c>
      <c r="T54" s="97">
        <f t="shared" si="71"/>
        <v>0</v>
      </c>
      <c r="U54" s="98">
        <f t="shared" si="72"/>
        <v>0</v>
      </c>
      <c r="V54" s="26">
        <f t="shared" si="73"/>
        <v>0</v>
      </c>
      <c r="W54" s="26">
        <f t="shared" si="74"/>
        <v>0</v>
      </c>
      <c r="X54" s="26">
        <f t="shared" si="75"/>
        <v>0</v>
      </c>
      <c r="Y54" s="26">
        <f t="shared" si="76"/>
        <v>0</v>
      </c>
      <c r="Z54" s="26">
        <f t="shared" si="77"/>
        <v>0</v>
      </c>
      <c r="AA54" s="95">
        <f t="shared" si="78"/>
        <v>0</v>
      </c>
      <c r="AB54" s="91">
        <f t="shared" si="79"/>
        <v>0</v>
      </c>
    </row>
    <row r="55" spans="1:28" ht="19.95" hidden="1" customHeight="1" x14ac:dyDescent="0.3">
      <c r="A55" s="52"/>
      <c r="B55" s="28"/>
      <c r="C55" s="30">
        <v>64075</v>
      </c>
      <c r="D55" s="31" t="s">
        <v>48</v>
      </c>
      <c r="E55" s="43"/>
      <c r="F55" s="27"/>
      <c r="G55" s="27"/>
      <c r="H55" s="27"/>
      <c r="I55" s="27"/>
      <c r="J55" s="27"/>
      <c r="K55" s="27"/>
      <c r="L55" s="44"/>
      <c r="M55" s="49">
        <f>L55*Subsector!$S$11</f>
        <v>0</v>
      </c>
      <c r="N55" s="26">
        <f>L55*Subsector!$S$12</f>
        <v>0</v>
      </c>
      <c r="O55" s="26">
        <f>L55*Subsector!$S$13</f>
        <v>0</v>
      </c>
      <c r="P55" s="26">
        <f>L55*Subsector!$S$14</f>
        <v>0</v>
      </c>
      <c r="Q55" s="26">
        <f>L55*Subsector!$S$15</f>
        <v>0</v>
      </c>
      <c r="R55" s="26">
        <f>L55*Subsector!$S$16</f>
        <v>0</v>
      </c>
      <c r="S55" s="66">
        <f>L55*Subsector!$S$17</f>
        <v>0</v>
      </c>
      <c r="T55" s="97">
        <f t="shared" si="71"/>
        <v>0</v>
      </c>
      <c r="U55" s="98">
        <f t="shared" si="72"/>
        <v>0</v>
      </c>
      <c r="V55" s="26">
        <f t="shared" si="73"/>
        <v>0</v>
      </c>
      <c r="W55" s="26">
        <f t="shared" si="74"/>
        <v>0</v>
      </c>
      <c r="X55" s="26">
        <f t="shared" si="75"/>
        <v>0</v>
      </c>
      <c r="Y55" s="26">
        <f t="shared" si="76"/>
        <v>0</v>
      </c>
      <c r="Z55" s="26">
        <f t="shared" si="77"/>
        <v>0</v>
      </c>
      <c r="AA55" s="95">
        <f t="shared" si="78"/>
        <v>0</v>
      </c>
      <c r="AB55" s="91">
        <f t="shared" si="79"/>
        <v>0</v>
      </c>
    </row>
    <row r="56" spans="1:28" ht="19.95" hidden="1" customHeight="1" x14ac:dyDescent="0.3">
      <c r="A56" s="52"/>
      <c r="B56" s="28"/>
      <c r="C56" s="30">
        <v>64076</v>
      </c>
      <c r="D56" s="31" t="s">
        <v>49</v>
      </c>
      <c r="E56" s="43"/>
      <c r="F56" s="27"/>
      <c r="G56" s="27"/>
      <c r="H56" s="27"/>
      <c r="I56" s="27"/>
      <c r="J56" s="27"/>
      <c r="K56" s="27"/>
      <c r="L56" s="44"/>
      <c r="M56" s="49">
        <f>L56*Subsector!$S$11</f>
        <v>0</v>
      </c>
      <c r="N56" s="26">
        <f>L56*Subsector!$S$12</f>
        <v>0</v>
      </c>
      <c r="O56" s="26">
        <f>L56*Subsector!$S$13</f>
        <v>0</v>
      </c>
      <c r="P56" s="26">
        <f>L56*Subsector!$S$14</f>
        <v>0</v>
      </c>
      <c r="Q56" s="26">
        <f>L56*Subsector!$S$15</f>
        <v>0</v>
      </c>
      <c r="R56" s="26">
        <f>L56*Subsector!$S$16</f>
        <v>0</v>
      </c>
      <c r="S56" s="66">
        <f>L56*Subsector!$S$17</f>
        <v>0</v>
      </c>
      <c r="T56" s="97">
        <f t="shared" si="71"/>
        <v>0</v>
      </c>
      <c r="U56" s="98">
        <f t="shared" si="72"/>
        <v>0</v>
      </c>
      <c r="V56" s="26">
        <f t="shared" si="73"/>
        <v>0</v>
      </c>
      <c r="W56" s="26">
        <f t="shared" si="74"/>
        <v>0</v>
      </c>
      <c r="X56" s="26">
        <f t="shared" si="75"/>
        <v>0</v>
      </c>
      <c r="Y56" s="26">
        <f t="shared" si="76"/>
        <v>0</v>
      </c>
      <c r="Z56" s="26">
        <f t="shared" si="77"/>
        <v>0</v>
      </c>
      <c r="AA56" s="95">
        <f t="shared" si="78"/>
        <v>0</v>
      </c>
      <c r="AB56" s="91">
        <f t="shared" si="79"/>
        <v>0</v>
      </c>
    </row>
    <row r="57" spans="1:28" ht="19.95" hidden="1" customHeight="1" x14ac:dyDescent="0.3">
      <c r="A57" s="52"/>
      <c r="B57" s="28"/>
      <c r="C57" s="30">
        <v>64077</v>
      </c>
      <c r="D57" s="31" t="s">
        <v>50</v>
      </c>
      <c r="E57" s="43"/>
      <c r="F57" s="27"/>
      <c r="G57" s="27"/>
      <c r="H57" s="27"/>
      <c r="I57" s="27"/>
      <c r="J57" s="27"/>
      <c r="K57" s="27"/>
      <c r="L57" s="44"/>
      <c r="M57" s="49">
        <f>L57*Subsector!$S$11</f>
        <v>0</v>
      </c>
      <c r="N57" s="26">
        <f>L57*Subsector!$S$12</f>
        <v>0</v>
      </c>
      <c r="O57" s="26">
        <f>L57*Subsector!$S$13</f>
        <v>0</v>
      </c>
      <c r="P57" s="26">
        <f>L57*Subsector!$S$14</f>
        <v>0</v>
      </c>
      <c r="Q57" s="26">
        <f>L57*Subsector!$S$15</f>
        <v>0</v>
      </c>
      <c r="R57" s="26">
        <f>L57*Subsector!$S$16</f>
        <v>0</v>
      </c>
      <c r="S57" s="66">
        <f>L57*Subsector!$S$17</f>
        <v>0</v>
      </c>
      <c r="T57" s="97">
        <f t="shared" si="71"/>
        <v>0</v>
      </c>
      <c r="U57" s="98">
        <f t="shared" si="72"/>
        <v>0</v>
      </c>
      <c r="V57" s="26">
        <f t="shared" si="73"/>
        <v>0</v>
      </c>
      <c r="W57" s="26">
        <f t="shared" si="74"/>
        <v>0</v>
      </c>
      <c r="X57" s="26">
        <f t="shared" si="75"/>
        <v>0</v>
      </c>
      <c r="Y57" s="26">
        <f t="shared" si="76"/>
        <v>0</v>
      </c>
      <c r="Z57" s="26">
        <f t="shared" si="77"/>
        <v>0</v>
      </c>
      <c r="AA57" s="95">
        <f t="shared" si="78"/>
        <v>0</v>
      </c>
      <c r="AB57" s="91">
        <f t="shared" si="79"/>
        <v>0</v>
      </c>
    </row>
    <row r="58" spans="1:28" ht="19.95" hidden="1" customHeight="1" x14ac:dyDescent="0.3">
      <c r="A58" s="52"/>
      <c r="B58" s="28"/>
      <c r="C58" s="30">
        <v>64078</v>
      </c>
      <c r="D58" s="31" t="s">
        <v>87</v>
      </c>
      <c r="E58" s="43"/>
      <c r="F58" s="27"/>
      <c r="G58" s="27"/>
      <c r="H58" s="27"/>
      <c r="I58" s="27"/>
      <c r="J58" s="27"/>
      <c r="K58" s="27"/>
      <c r="L58" s="44"/>
      <c r="M58" s="49">
        <f>L58*Subsector!$S$11</f>
        <v>0</v>
      </c>
      <c r="N58" s="26">
        <f>L58*Subsector!$S$12</f>
        <v>0</v>
      </c>
      <c r="O58" s="26">
        <f>L58*Subsector!$S$13</f>
        <v>0</v>
      </c>
      <c r="P58" s="26">
        <f>L58*Subsector!$S$14</f>
        <v>0</v>
      </c>
      <c r="Q58" s="26">
        <f>L58*Subsector!$S$15</f>
        <v>0</v>
      </c>
      <c r="R58" s="26">
        <f>L58*Subsector!$S$16</f>
        <v>0</v>
      </c>
      <c r="S58" s="66">
        <f>L58*Subsector!$S$17</f>
        <v>0</v>
      </c>
      <c r="T58" s="97">
        <f t="shared" si="71"/>
        <v>0</v>
      </c>
      <c r="U58" s="98">
        <f t="shared" si="72"/>
        <v>0</v>
      </c>
      <c r="V58" s="26">
        <f t="shared" si="73"/>
        <v>0</v>
      </c>
      <c r="W58" s="26">
        <f t="shared" si="74"/>
        <v>0</v>
      </c>
      <c r="X58" s="26">
        <f t="shared" si="75"/>
        <v>0</v>
      </c>
      <c r="Y58" s="26">
        <f t="shared" si="76"/>
        <v>0</v>
      </c>
      <c r="Z58" s="26">
        <f t="shared" si="77"/>
        <v>0</v>
      </c>
      <c r="AA58" s="95">
        <f t="shared" si="78"/>
        <v>0</v>
      </c>
      <c r="AB58" s="91">
        <f t="shared" si="79"/>
        <v>0</v>
      </c>
    </row>
    <row r="59" spans="1:28" ht="19.95" customHeight="1" x14ac:dyDescent="0.3">
      <c r="A59" s="51"/>
      <c r="B59" s="28">
        <v>6498</v>
      </c>
      <c r="C59" s="28"/>
      <c r="D59" s="29" t="s">
        <v>88</v>
      </c>
      <c r="E59" s="39">
        <f>SUM(E60)</f>
        <v>0.6</v>
      </c>
      <c r="F59" s="22">
        <f t="shared" ref="F59:AB59" si="80">SUM(F60)</f>
        <v>0.8</v>
      </c>
      <c r="G59" s="22">
        <f t="shared" si="80"/>
        <v>60.1</v>
      </c>
      <c r="H59" s="22">
        <f t="shared" si="80"/>
        <v>0</v>
      </c>
      <c r="I59" s="22">
        <f>SUM(I60)</f>
        <v>0.4</v>
      </c>
      <c r="J59" s="22">
        <f t="shared" si="80"/>
        <v>0</v>
      </c>
      <c r="K59" s="22">
        <f t="shared" si="80"/>
        <v>0.8</v>
      </c>
      <c r="L59" s="40">
        <f t="shared" si="80"/>
        <v>3.7</v>
      </c>
      <c r="M59" s="36">
        <f t="shared" si="80"/>
        <v>1.3117115521368674E-2</v>
      </c>
      <c r="N59" s="22">
        <f t="shared" si="80"/>
        <v>2.2270568346691744</v>
      </c>
      <c r="O59" s="22">
        <f t="shared" si="80"/>
        <v>1.3957536148454168</v>
      </c>
      <c r="P59" s="22">
        <f>SUM(P60)</f>
        <v>0</v>
      </c>
      <c r="Q59" s="22">
        <f t="shared" si="80"/>
        <v>4.6454442919174894E-2</v>
      </c>
      <c r="R59" s="22">
        <f t="shared" si="80"/>
        <v>0</v>
      </c>
      <c r="S59" s="65">
        <f t="shared" si="80"/>
        <v>1.7617992044865496E-2</v>
      </c>
      <c r="T59" s="84">
        <f t="shared" si="80"/>
        <v>60.1</v>
      </c>
      <c r="U59" s="87">
        <f t="shared" si="80"/>
        <v>0.7</v>
      </c>
      <c r="V59" s="22">
        <f t="shared" si="80"/>
        <v>3.1</v>
      </c>
      <c r="W59" s="22">
        <f t="shared" si="80"/>
        <v>1.4000000000000001</v>
      </c>
      <c r="X59" s="22">
        <f t="shared" si="80"/>
        <v>0.5</v>
      </c>
      <c r="Y59" s="22">
        <f t="shared" si="80"/>
        <v>0</v>
      </c>
      <c r="Z59" s="22">
        <f t="shared" si="80"/>
        <v>0.9</v>
      </c>
      <c r="AA59" s="94">
        <f t="shared" si="80"/>
        <v>6.6000000000000005</v>
      </c>
      <c r="AB59" s="90">
        <f t="shared" si="80"/>
        <v>66.7</v>
      </c>
    </row>
    <row r="60" spans="1:28" ht="19.95" customHeight="1" thickBot="1" x14ac:dyDescent="0.35">
      <c r="A60" s="56"/>
      <c r="B60" s="57"/>
      <c r="C60" s="58">
        <v>64981</v>
      </c>
      <c r="D60" s="59" t="s">
        <v>88</v>
      </c>
      <c r="E60" s="68">
        <v>0.6</v>
      </c>
      <c r="F60" s="69">
        <v>0.8</v>
      </c>
      <c r="G60" s="69">
        <v>60.1</v>
      </c>
      <c r="H60" s="69"/>
      <c r="I60" s="69">
        <v>0.4</v>
      </c>
      <c r="J60" s="69"/>
      <c r="K60" s="69">
        <v>0.8</v>
      </c>
      <c r="L60" s="70">
        <v>3.7</v>
      </c>
      <c r="M60" s="63">
        <f>L60*Subsector!$S$11</f>
        <v>1.3117115521368674E-2</v>
      </c>
      <c r="N60" s="61">
        <f>L60*Subsector!$S$12</f>
        <v>2.2270568346691744</v>
      </c>
      <c r="O60" s="61">
        <f>L60*Subsector!$S$13</f>
        <v>1.3957536148454168</v>
      </c>
      <c r="P60" s="61">
        <f>L60*Subsector!$S$14</f>
        <v>0</v>
      </c>
      <c r="Q60" s="61">
        <f>L60*Subsector!$S$15</f>
        <v>4.6454442919174894E-2</v>
      </c>
      <c r="R60" s="61">
        <f>L60*Subsector!$S$16</f>
        <v>0</v>
      </c>
      <c r="S60" s="67">
        <f>L60*Subsector!$S$17</f>
        <v>1.7617992044865496E-2</v>
      </c>
      <c r="T60" s="85">
        <f>ROUNDUP(SUM(G60),1)</f>
        <v>60.1</v>
      </c>
      <c r="U60" s="88">
        <f>ROUNDUP(SUM(E60,M60),1)</f>
        <v>0.7</v>
      </c>
      <c r="V60" s="61">
        <f>ROUNDUP(SUM(F60,N60),1)</f>
        <v>3.1</v>
      </c>
      <c r="W60" s="61">
        <f>ROUNDUP(SUM(O60),1)</f>
        <v>1.4000000000000001</v>
      </c>
      <c r="X60" s="61">
        <f>ROUNDUP(SUM(I60,Q60),1)</f>
        <v>0.5</v>
      </c>
      <c r="Y60" s="61">
        <f>ROUNDUP(SUM(J60,R60),1)</f>
        <v>0</v>
      </c>
      <c r="Z60" s="61">
        <f>ROUNDUP(SUM(K60,S60),1)</f>
        <v>0.9</v>
      </c>
      <c r="AA60" s="96">
        <f>SUM(U60:Z60)</f>
        <v>6.6000000000000005</v>
      </c>
      <c r="AB60" s="92">
        <f>SUM(T60,AA60)</f>
        <v>66.7</v>
      </c>
    </row>
  </sheetData>
  <sheetProtection algorithmName="SHA-512" hashValue="OyjPFvrHQef1u8Y8BaUl0SdOdiEyjZuhVJcH8vN/TcMOPGQlPRZ/RuKoS6R8s0oN2wpxg6VP//phKbtQpUJOKw==" saltValue="zP4uJD/9Yj8M7O87xcIDDw==" spinCount="100000" sheet="1" formatCells="0" formatColumns="0" formatRows="0" sort="0" autoFilter="0" pivotTables="0"/>
  <mergeCells count="23">
    <mergeCell ref="T4:AB5"/>
    <mergeCell ref="D4:D6"/>
    <mergeCell ref="C4:C6"/>
    <mergeCell ref="B4:B6"/>
    <mergeCell ref="A4:A6"/>
    <mergeCell ref="E4:L4"/>
    <mergeCell ref="M4:S5"/>
    <mergeCell ref="U6:AA6"/>
    <mergeCell ref="O6:O7"/>
    <mergeCell ref="P6:P7"/>
    <mergeCell ref="Q6:Q7"/>
    <mergeCell ref="R6:R7"/>
    <mergeCell ref="S6:S7"/>
    <mergeCell ref="J6:J7"/>
    <mergeCell ref="K6:K7"/>
    <mergeCell ref="L6:L7"/>
    <mergeCell ref="M6:M7"/>
    <mergeCell ref="N6:N7"/>
    <mergeCell ref="E6:E7"/>
    <mergeCell ref="F6:F7"/>
    <mergeCell ref="G6:G7"/>
    <mergeCell ref="H6:H7"/>
    <mergeCell ref="I6:I7"/>
  </mergeCells>
  <pageMargins left="0.11811023622047245" right="0.11811023622047245" top="0.15748031496062992" bottom="0.15748031496062992" header="0.31496062992125984" footer="0.31496062992125984"/>
  <pageSetup paperSize="9" scale="75" orientation="landscape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0636E-89EC-4A86-AB55-FBC97C43D497}">
  <sheetPr codeName="Sheet3"/>
  <dimension ref="A1:U60"/>
  <sheetViews>
    <sheetView zoomScale="90" zoomScaleNormal="90" workbookViewId="0">
      <selection activeCell="X60" sqref="X60"/>
    </sheetView>
  </sheetViews>
  <sheetFormatPr defaultRowHeight="14.4" x14ac:dyDescent="0.3"/>
  <cols>
    <col min="1" max="1" width="6" customWidth="1"/>
    <col min="2" max="2" width="6.5546875" customWidth="1"/>
    <col min="3" max="3" width="9.44140625" customWidth="1"/>
    <col min="4" max="4" width="38.109375" customWidth="1"/>
    <col min="5" max="5" width="4.77734375" customWidth="1"/>
    <col min="6" max="6" width="8.21875" customWidth="1"/>
    <col min="7" max="7" width="5.5546875" customWidth="1"/>
    <col min="8" max="8" width="8.44140625" customWidth="1"/>
    <col min="9" max="9" width="5.77734375" customWidth="1"/>
    <col min="10" max="10" width="6.88671875" customWidth="1"/>
    <col min="11" max="11" width="7.77734375" customWidth="1"/>
    <col min="12" max="12" width="5.33203125" customWidth="1"/>
    <col min="13" max="13" width="4.44140625" customWidth="1"/>
    <col min="14" max="14" width="5.6640625" customWidth="1"/>
    <col min="15" max="15" width="5.21875" customWidth="1"/>
    <col min="16" max="16" width="8.77734375" customWidth="1"/>
    <col min="17" max="17" width="6.6640625" customWidth="1"/>
    <col min="18" max="18" width="5.77734375" customWidth="1"/>
    <col min="19" max="19" width="4.77734375" customWidth="1"/>
    <col min="20" max="20" width="5.21875" customWidth="1"/>
    <col min="21" max="21" width="7.77734375" customWidth="1"/>
  </cols>
  <sheetData>
    <row r="1" spans="1:21" ht="21.45" customHeight="1" x14ac:dyDescent="0.3"/>
    <row r="2" spans="1:21" ht="21.45" customHeight="1" x14ac:dyDescent="0.3"/>
    <row r="3" spans="1:21" ht="36.450000000000003" customHeight="1" x14ac:dyDescent="0.3">
      <c r="A3" s="108" t="s">
        <v>106</v>
      </c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</row>
    <row r="4" spans="1:21" ht="21.45" customHeight="1" thickBot="1" x14ac:dyDescent="0.35"/>
    <row r="5" spans="1:21" ht="43.2" customHeight="1" x14ac:dyDescent="0.3">
      <c r="A5" s="123" t="s">
        <v>39</v>
      </c>
      <c r="B5" s="121" t="s">
        <v>40</v>
      </c>
      <c r="C5" s="121" t="s">
        <v>41</v>
      </c>
      <c r="D5" s="119" t="s">
        <v>42</v>
      </c>
      <c r="E5" s="125" t="s">
        <v>99</v>
      </c>
      <c r="F5" s="126"/>
      <c r="G5" s="126"/>
      <c r="H5" s="127"/>
      <c r="I5" s="140" t="s">
        <v>94</v>
      </c>
      <c r="J5" s="141"/>
      <c r="K5" s="141"/>
      <c r="L5" s="141"/>
      <c r="M5" s="141"/>
      <c r="N5" s="142"/>
      <c r="O5" s="134" t="s">
        <v>95</v>
      </c>
      <c r="P5" s="135"/>
      <c r="Q5" s="135"/>
      <c r="R5" s="135"/>
      <c r="S5" s="135"/>
      <c r="T5" s="135"/>
      <c r="U5" s="136"/>
    </row>
    <row r="6" spans="1:21" ht="42.6" customHeight="1" x14ac:dyDescent="0.8">
      <c r="A6" s="124"/>
      <c r="B6" s="122"/>
      <c r="C6" s="122"/>
      <c r="D6" s="120"/>
      <c r="E6" s="45"/>
      <c r="F6" s="46"/>
      <c r="G6" s="46"/>
      <c r="H6" s="47"/>
      <c r="I6" s="143"/>
      <c r="J6" s="144"/>
      <c r="K6" s="144"/>
      <c r="L6" s="144"/>
      <c r="M6" s="144"/>
      <c r="N6" s="145"/>
      <c r="O6" s="137"/>
      <c r="P6" s="138"/>
      <c r="Q6" s="138"/>
      <c r="R6" s="138"/>
      <c r="S6" s="138"/>
      <c r="T6" s="138"/>
      <c r="U6" s="139"/>
    </row>
    <row r="7" spans="1:21" ht="132.44999999999999" customHeight="1" x14ac:dyDescent="0.3">
      <c r="A7" s="124"/>
      <c r="B7" s="122"/>
      <c r="C7" s="122"/>
      <c r="D7" s="120"/>
      <c r="E7" s="146" t="s">
        <v>25</v>
      </c>
      <c r="F7" s="147" t="s">
        <v>26</v>
      </c>
      <c r="G7" s="147" t="s">
        <v>29</v>
      </c>
      <c r="H7" s="148" t="s">
        <v>91</v>
      </c>
      <c r="I7" s="149" t="s">
        <v>25</v>
      </c>
      <c r="J7" s="150" t="s">
        <v>26</v>
      </c>
      <c r="K7" s="150" t="s">
        <v>27</v>
      </c>
      <c r="L7" s="150" t="s">
        <v>29</v>
      </c>
      <c r="M7" s="150" t="s">
        <v>30</v>
      </c>
      <c r="N7" s="151" t="s">
        <v>31</v>
      </c>
      <c r="O7" s="152" t="s">
        <v>25</v>
      </c>
      <c r="P7" s="153" t="s">
        <v>26</v>
      </c>
      <c r="Q7" s="153" t="s">
        <v>27</v>
      </c>
      <c r="R7" s="153" t="s">
        <v>29</v>
      </c>
      <c r="S7" s="153" t="s">
        <v>30</v>
      </c>
      <c r="T7" s="153" t="s">
        <v>31</v>
      </c>
      <c r="U7" s="154" t="s">
        <v>12</v>
      </c>
    </row>
    <row r="8" spans="1:21" ht="19.95" customHeight="1" x14ac:dyDescent="0.3">
      <c r="A8" s="50">
        <v>64</v>
      </c>
      <c r="B8" s="32"/>
      <c r="C8" s="32"/>
      <c r="D8" s="33" t="s">
        <v>43</v>
      </c>
      <c r="E8" s="37">
        <f>SUM(E9,E18,E27,E33,E37,E45,E50,E59)</f>
        <v>0</v>
      </c>
      <c r="F8" s="34">
        <f t="shared" ref="F8:U8" si="0">SUM(F9,F18,F27,F33,F37,F45,F50,F59)</f>
        <v>3815.2999999999997</v>
      </c>
      <c r="G8" s="34">
        <f t="shared" si="0"/>
        <v>57.4</v>
      </c>
      <c r="H8" s="38">
        <f t="shared" si="0"/>
        <v>211.79999999999998</v>
      </c>
      <c r="I8" s="35">
        <f t="shared" si="0"/>
        <v>0.75086623443942846</v>
      </c>
      <c r="J8" s="34">
        <f t="shared" si="0"/>
        <v>127.48395610349489</v>
      </c>
      <c r="K8" s="34">
        <f t="shared" si="0"/>
        <v>79.897463682232214</v>
      </c>
      <c r="L8" s="34">
        <f t="shared" si="0"/>
        <v>2.6592029757516862</v>
      </c>
      <c r="M8" s="34">
        <f t="shared" si="0"/>
        <v>0</v>
      </c>
      <c r="N8" s="64">
        <f t="shared" si="0"/>
        <v>1.0085110040817598</v>
      </c>
      <c r="O8" s="37">
        <f t="shared" si="0"/>
        <v>1.2000000000000002</v>
      </c>
      <c r="P8" s="34">
        <f t="shared" si="0"/>
        <v>3943.1</v>
      </c>
      <c r="Q8" s="34">
        <f t="shared" si="0"/>
        <v>80.300000000000011</v>
      </c>
      <c r="R8" s="34">
        <f t="shared" si="0"/>
        <v>60.500000000000007</v>
      </c>
      <c r="S8" s="34">
        <f t="shared" si="0"/>
        <v>0</v>
      </c>
      <c r="T8" s="34">
        <f t="shared" si="0"/>
        <v>1.5000000000000002</v>
      </c>
      <c r="U8" s="38">
        <f t="shared" si="0"/>
        <v>4086.6</v>
      </c>
    </row>
    <row r="9" spans="1:21" ht="19.95" hidden="1" customHeight="1" x14ac:dyDescent="0.3">
      <c r="A9" s="51"/>
      <c r="B9" s="23">
        <v>6401</v>
      </c>
      <c r="C9" s="23"/>
      <c r="D9" s="21" t="s">
        <v>90</v>
      </c>
      <c r="E9" s="39">
        <f>SUM(E10:E17)</f>
        <v>0</v>
      </c>
      <c r="F9" s="22">
        <f>SUM(F10:F17)</f>
        <v>0</v>
      </c>
      <c r="G9" s="22">
        <f t="shared" ref="G9:U9" si="1">SUM(G10:G17)</f>
        <v>0</v>
      </c>
      <c r="H9" s="40">
        <f t="shared" si="1"/>
        <v>0</v>
      </c>
      <c r="I9" s="36">
        <f t="shared" si="1"/>
        <v>0</v>
      </c>
      <c r="J9" s="22">
        <f t="shared" si="1"/>
        <v>0</v>
      </c>
      <c r="K9" s="22">
        <f t="shared" si="1"/>
        <v>0</v>
      </c>
      <c r="L9" s="22">
        <f t="shared" si="1"/>
        <v>0</v>
      </c>
      <c r="M9" s="22">
        <f t="shared" si="1"/>
        <v>0</v>
      </c>
      <c r="N9" s="65">
        <f t="shared" si="1"/>
        <v>0</v>
      </c>
      <c r="O9" s="39">
        <f>SUM(O10:O17)</f>
        <v>0</v>
      </c>
      <c r="P9" s="22">
        <f t="shared" si="1"/>
        <v>0</v>
      </c>
      <c r="Q9" s="22">
        <f t="shared" si="1"/>
        <v>0</v>
      </c>
      <c r="R9" s="22">
        <f t="shared" si="1"/>
        <v>0</v>
      </c>
      <c r="S9" s="22">
        <f t="shared" si="1"/>
        <v>0</v>
      </c>
      <c r="T9" s="22">
        <f t="shared" si="1"/>
        <v>0</v>
      </c>
      <c r="U9" s="40">
        <f t="shared" si="1"/>
        <v>0</v>
      </c>
    </row>
    <row r="10" spans="1:21" ht="19.95" hidden="1" customHeight="1" x14ac:dyDescent="0.3">
      <c r="A10" s="52"/>
      <c r="B10" s="24"/>
      <c r="C10" s="24">
        <v>64011</v>
      </c>
      <c r="D10" s="25" t="s">
        <v>44</v>
      </c>
      <c r="E10" s="43"/>
      <c r="F10" s="27"/>
      <c r="G10" s="27"/>
      <c r="H10" s="44"/>
      <c r="I10" s="49">
        <f>H10*Subsector!$S$11</f>
        <v>0</v>
      </c>
      <c r="J10" s="26">
        <f>H10*Subsector!$S$12</f>
        <v>0</v>
      </c>
      <c r="K10" s="26">
        <f>H10*Subsector!$S$13</f>
        <v>0</v>
      </c>
      <c r="L10" s="26">
        <f>H10*Subsector!$S$15</f>
        <v>0</v>
      </c>
      <c r="M10" s="26">
        <f>H10*Subsector!$S$16</f>
        <v>0</v>
      </c>
      <c r="N10" s="66">
        <f>H10*Subsector!$S$17</f>
        <v>0</v>
      </c>
      <c r="O10" s="41">
        <f t="shared" ref="O10:P17" si="2">ROUNDUP(SUM(E10,I10),1)</f>
        <v>0</v>
      </c>
      <c r="P10" s="26">
        <f t="shared" si="2"/>
        <v>0</v>
      </c>
      <c r="Q10" s="26">
        <f t="shared" ref="Q10:Q17" si="3">ROUNDUP(SUM(K10),1)</f>
        <v>0</v>
      </c>
      <c r="R10" s="26">
        <f t="shared" ref="R10:R17" si="4">ROUNDUP(SUM(G10,L10),1)</f>
        <v>0</v>
      </c>
      <c r="S10" s="26">
        <f t="shared" ref="S10:T17" si="5">ROUNDUP(SUM(M10),1)</f>
        <v>0</v>
      </c>
      <c r="T10" s="26">
        <f t="shared" si="5"/>
        <v>0</v>
      </c>
      <c r="U10" s="42">
        <f t="shared" ref="U10:U17" si="6">SUM(O10:T10)</f>
        <v>0</v>
      </c>
    </row>
    <row r="11" spans="1:21" ht="19.95" hidden="1" customHeight="1" x14ac:dyDescent="0.3">
      <c r="A11" s="52"/>
      <c r="B11" s="24"/>
      <c r="C11" s="24">
        <v>64012</v>
      </c>
      <c r="D11" s="25" t="s">
        <v>89</v>
      </c>
      <c r="E11" s="43"/>
      <c r="F11" s="27"/>
      <c r="G11" s="27"/>
      <c r="H11" s="44"/>
      <c r="I11" s="49">
        <f>H11*Subsector!$S$11</f>
        <v>0</v>
      </c>
      <c r="J11" s="26">
        <f>H11*Subsector!$S$12</f>
        <v>0</v>
      </c>
      <c r="K11" s="26">
        <f>H11*Subsector!$S$13</f>
        <v>0</v>
      </c>
      <c r="L11" s="26">
        <f>H11*Subsector!$S$15</f>
        <v>0</v>
      </c>
      <c r="M11" s="26">
        <f>H11*Subsector!$S$16</f>
        <v>0</v>
      </c>
      <c r="N11" s="66">
        <f>H11*Subsector!$S$17</f>
        <v>0</v>
      </c>
      <c r="O11" s="41">
        <f t="shared" si="2"/>
        <v>0</v>
      </c>
      <c r="P11" s="26">
        <f t="shared" si="2"/>
        <v>0</v>
      </c>
      <c r="Q11" s="26">
        <f t="shared" si="3"/>
        <v>0</v>
      </c>
      <c r="R11" s="26">
        <f t="shared" si="4"/>
        <v>0</v>
      </c>
      <c r="S11" s="26">
        <f t="shared" si="5"/>
        <v>0</v>
      </c>
      <c r="T11" s="26">
        <f t="shared" si="5"/>
        <v>0</v>
      </c>
      <c r="U11" s="42">
        <f t="shared" si="6"/>
        <v>0</v>
      </c>
    </row>
    <row r="12" spans="1:21" ht="19.95" hidden="1" customHeight="1" x14ac:dyDescent="0.3">
      <c r="A12" s="52"/>
      <c r="B12" s="24"/>
      <c r="C12" s="24">
        <v>64013</v>
      </c>
      <c r="D12" s="25" t="s">
        <v>45</v>
      </c>
      <c r="E12" s="43">
        <v>0</v>
      </c>
      <c r="F12" s="27">
        <v>0</v>
      </c>
      <c r="G12" s="27">
        <v>0</v>
      </c>
      <c r="H12" s="44">
        <v>0</v>
      </c>
      <c r="I12" s="49">
        <f>H12*Subsector!$S$11</f>
        <v>0</v>
      </c>
      <c r="J12" s="26">
        <f>H12*Subsector!$S$12</f>
        <v>0</v>
      </c>
      <c r="K12" s="26">
        <f>H12*Subsector!$S$13</f>
        <v>0</v>
      </c>
      <c r="L12" s="26">
        <f>H12*Subsector!$S$15</f>
        <v>0</v>
      </c>
      <c r="M12" s="26">
        <f>H12*Subsector!$S$16</f>
        <v>0</v>
      </c>
      <c r="N12" s="66">
        <f>H12*Subsector!$S$17</f>
        <v>0</v>
      </c>
      <c r="O12" s="41">
        <f t="shared" si="2"/>
        <v>0</v>
      </c>
      <c r="P12" s="26">
        <f t="shared" si="2"/>
        <v>0</v>
      </c>
      <c r="Q12" s="26">
        <f t="shared" si="3"/>
        <v>0</v>
      </c>
      <c r="R12" s="26">
        <f t="shared" si="4"/>
        <v>0</v>
      </c>
      <c r="S12" s="26">
        <f t="shared" si="5"/>
        <v>0</v>
      </c>
      <c r="T12" s="26">
        <f t="shared" si="5"/>
        <v>0</v>
      </c>
      <c r="U12" s="42">
        <f t="shared" si="6"/>
        <v>0</v>
      </c>
    </row>
    <row r="13" spans="1:21" ht="19.95" hidden="1" customHeight="1" x14ac:dyDescent="0.3">
      <c r="A13" s="52"/>
      <c r="B13" s="24"/>
      <c r="C13" s="24">
        <v>64014</v>
      </c>
      <c r="D13" s="25" t="s">
        <v>46</v>
      </c>
      <c r="E13" s="43">
        <v>0</v>
      </c>
      <c r="F13" s="27">
        <v>0</v>
      </c>
      <c r="G13" s="27">
        <v>0</v>
      </c>
      <c r="H13" s="44">
        <v>0</v>
      </c>
      <c r="I13" s="49">
        <f>H13*Subsector!$S$11</f>
        <v>0</v>
      </c>
      <c r="J13" s="26">
        <f>H13*Subsector!$S$12</f>
        <v>0</v>
      </c>
      <c r="K13" s="26">
        <f>H13*Subsector!$S$13</f>
        <v>0</v>
      </c>
      <c r="L13" s="26">
        <f>H13*Subsector!$S$15</f>
        <v>0</v>
      </c>
      <c r="M13" s="26">
        <f>H13*Subsector!$S$16</f>
        <v>0</v>
      </c>
      <c r="N13" s="66">
        <f>H13*Subsector!$S$17</f>
        <v>0</v>
      </c>
      <c r="O13" s="41">
        <f t="shared" si="2"/>
        <v>0</v>
      </c>
      <c r="P13" s="26">
        <f t="shared" si="2"/>
        <v>0</v>
      </c>
      <c r="Q13" s="26">
        <f t="shared" si="3"/>
        <v>0</v>
      </c>
      <c r="R13" s="26">
        <f t="shared" si="4"/>
        <v>0</v>
      </c>
      <c r="S13" s="26">
        <f t="shared" si="5"/>
        <v>0</v>
      </c>
      <c r="T13" s="26">
        <f t="shared" si="5"/>
        <v>0</v>
      </c>
      <c r="U13" s="42">
        <f t="shared" si="6"/>
        <v>0</v>
      </c>
    </row>
    <row r="14" spans="1:21" ht="19.95" hidden="1" customHeight="1" x14ac:dyDescent="0.3">
      <c r="A14" s="52"/>
      <c r="B14" s="24"/>
      <c r="C14" s="24">
        <v>64015</v>
      </c>
      <c r="D14" s="25" t="s">
        <v>47</v>
      </c>
      <c r="E14" s="43"/>
      <c r="F14" s="27"/>
      <c r="G14" s="27"/>
      <c r="H14" s="44"/>
      <c r="I14" s="49">
        <f>H14*Subsector!$S$11</f>
        <v>0</v>
      </c>
      <c r="J14" s="26">
        <f>H14*Subsector!$S$12</f>
        <v>0</v>
      </c>
      <c r="K14" s="26">
        <f>H14*Subsector!$S$13</f>
        <v>0</v>
      </c>
      <c r="L14" s="26">
        <f>H14*Subsector!$S$15</f>
        <v>0</v>
      </c>
      <c r="M14" s="26">
        <f>H14*Subsector!$S$16</f>
        <v>0</v>
      </c>
      <c r="N14" s="66">
        <f>H14*Subsector!$S$17</f>
        <v>0</v>
      </c>
      <c r="O14" s="41">
        <f t="shared" si="2"/>
        <v>0</v>
      </c>
      <c r="P14" s="26">
        <f t="shared" si="2"/>
        <v>0</v>
      </c>
      <c r="Q14" s="26">
        <f t="shared" si="3"/>
        <v>0</v>
      </c>
      <c r="R14" s="26">
        <f t="shared" si="4"/>
        <v>0</v>
      </c>
      <c r="S14" s="26">
        <f t="shared" si="5"/>
        <v>0</v>
      </c>
      <c r="T14" s="26">
        <f t="shared" si="5"/>
        <v>0</v>
      </c>
      <c r="U14" s="42">
        <f t="shared" si="6"/>
        <v>0</v>
      </c>
    </row>
    <row r="15" spans="1:21" ht="19.95" hidden="1" customHeight="1" x14ac:dyDescent="0.3">
      <c r="A15" s="52"/>
      <c r="B15" s="24"/>
      <c r="C15" s="24">
        <v>64016</v>
      </c>
      <c r="D15" s="25" t="s">
        <v>48</v>
      </c>
      <c r="E15" s="43"/>
      <c r="F15" s="27"/>
      <c r="G15" s="27"/>
      <c r="H15" s="44"/>
      <c r="I15" s="49">
        <f>H15*Subsector!$S$11</f>
        <v>0</v>
      </c>
      <c r="J15" s="26">
        <f>H15*Subsector!$S$12</f>
        <v>0</v>
      </c>
      <c r="K15" s="26">
        <f>H15*Subsector!$S$13</f>
        <v>0</v>
      </c>
      <c r="L15" s="26">
        <f>H15*Subsector!$S$15</f>
        <v>0</v>
      </c>
      <c r="M15" s="26">
        <f>H15*Subsector!$S$16</f>
        <v>0</v>
      </c>
      <c r="N15" s="66">
        <f>H15*Subsector!$S$17</f>
        <v>0</v>
      </c>
      <c r="O15" s="41">
        <f t="shared" si="2"/>
        <v>0</v>
      </c>
      <c r="P15" s="26">
        <f t="shared" si="2"/>
        <v>0</v>
      </c>
      <c r="Q15" s="26">
        <f t="shared" si="3"/>
        <v>0</v>
      </c>
      <c r="R15" s="26">
        <f t="shared" si="4"/>
        <v>0</v>
      </c>
      <c r="S15" s="26">
        <f t="shared" si="5"/>
        <v>0</v>
      </c>
      <c r="T15" s="26">
        <f t="shared" si="5"/>
        <v>0</v>
      </c>
      <c r="U15" s="42">
        <f t="shared" si="6"/>
        <v>0</v>
      </c>
    </row>
    <row r="16" spans="1:21" ht="19.95" hidden="1" customHeight="1" x14ac:dyDescent="0.3">
      <c r="A16" s="52"/>
      <c r="B16" s="24"/>
      <c r="C16" s="24">
        <v>64017</v>
      </c>
      <c r="D16" s="25" t="s">
        <v>49</v>
      </c>
      <c r="E16" s="43"/>
      <c r="F16" s="27"/>
      <c r="G16" s="27"/>
      <c r="H16" s="44"/>
      <c r="I16" s="49">
        <f>H16*Subsector!$S$11</f>
        <v>0</v>
      </c>
      <c r="J16" s="26">
        <f>H16*Subsector!$S$12</f>
        <v>0</v>
      </c>
      <c r="K16" s="26">
        <f>H16*Subsector!$S$13</f>
        <v>0</v>
      </c>
      <c r="L16" s="26">
        <f>H16*Subsector!$S$15</f>
        <v>0</v>
      </c>
      <c r="M16" s="26">
        <f>H16*Subsector!$S$16</f>
        <v>0</v>
      </c>
      <c r="N16" s="66">
        <f>H16*Subsector!$S$17</f>
        <v>0</v>
      </c>
      <c r="O16" s="41">
        <f t="shared" si="2"/>
        <v>0</v>
      </c>
      <c r="P16" s="26">
        <f t="shared" si="2"/>
        <v>0</v>
      </c>
      <c r="Q16" s="26">
        <f t="shared" si="3"/>
        <v>0</v>
      </c>
      <c r="R16" s="26">
        <f t="shared" si="4"/>
        <v>0</v>
      </c>
      <c r="S16" s="26">
        <f t="shared" si="5"/>
        <v>0</v>
      </c>
      <c r="T16" s="26">
        <f t="shared" si="5"/>
        <v>0</v>
      </c>
      <c r="U16" s="42">
        <f t="shared" si="6"/>
        <v>0</v>
      </c>
    </row>
    <row r="17" spans="1:21" ht="19.95" hidden="1" customHeight="1" x14ac:dyDescent="0.3">
      <c r="A17" s="52"/>
      <c r="B17" s="24"/>
      <c r="C17" s="24">
        <v>64018</v>
      </c>
      <c r="D17" s="25" t="s">
        <v>50</v>
      </c>
      <c r="E17" s="43"/>
      <c r="F17" s="27"/>
      <c r="G17" s="27"/>
      <c r="H17" s="44"/>
      <c r="I17" s="49">
        <f>H17*Subsector!$S$11</f>
        <v>0</v>
      </c>
      <c r="J17" s="26">
        <f>H17*Subsector!$S$12</f>
        <v>0</v>
      </c>
      <c r="K17" s="26">
        <f>H17*Subsector!$S$13</f>
        <v>0</v>
      </c>
      <c r="L17" s="26">
        <f>H17*Subsector!$S$15</f>
        <v>0</v>
      </c>
      <c r="M17" s="26">
        <f>H17*Subsector!$S$16</f>
        <v>0</v>
      </c>
      <c r="N17" s="66">
        <f>H17*Subsector!$S$17</f>
        <v>0</v>
      </c>
      <c r="O17" s="41">
        <f t="shared" si="2"/>
        <v>0</v>
      </c>
      <c r="P17" s="26">
        <f t="shared" si="2"/>
        <v>0</v>
      </c>
      <c r="Q17" s="26">
        <f t="shared" si="3"/>
        <v>0</v>
      </c>
      <c r="R17" s="26">
        <f t="shared" si="4"/>
        <v>0</v>
      </c>
      <c r="S17" s="26">
        <f t="shared" si="5"/>
        <v>0</v>
      </c>
      <c r="T17" s="26">
        <f t="shared" si="5"/>
        <v>0</v>
      </c>
      <c r="U17" s="42">
        <f t="shared" si="6"/>
        <v>0</v>
      </c>
    </row>
    <row r="18" spans="1:21" ht="19.95" customHeight="1" x14ac:dyDescent="0.3">
      <c r="A18" s="51"/>
      <c r="B18" s="23">
        <v>6402</v>
      </c>
      <c r="C18" s="23"/>
      <c r="D18" s="21" t="s">
        <v>51</v>
      </c>
      <c r="E18" s="39">
        <f>SUM(E19:E26)</f>
        <v>0</v>
      </c>
      <c r="F18" s="22">
        <f t="shared" ref="F18:U18" si="7">SUM(F19:F26)</f>
        <v>3714.2</v>
      </c>
      <c r="G18" s="22">
        <f t="shared" si="7"/>
        <v>0</v>
      </c>
      <c r="H18" s="40">
        <f t="shared" si="7"/>
        <v>208.7</v>
      </c>
      <c r="I18" s="36">
        <f t="shared" si="7"/>
        <v>0.73987621873233578</v>
      </c>
      <c r="J18" s="22">
        <f t="shared" si="7"/>
        <v>125.61804362039369</v>
      </c>
      <c r="K18" s="22">
        <f t="shared" si="7"/>
        <v>78.728048491415791</v>
      </c>
      <c r="L18" s="22">
        <f t="shared" si="7"/>
        <v>2.6202816857383238</v>
      </c>
      <c r="M18" s="22">
        <f t="shared" si="7"/>
        <v>0</v>
      </c>
      <c r="N18" s="65">
        <f t="shared" si="7"/>
        <v>0.99374998371984546</v>
      </c>
      <c r="O18" s="39">
        <f t="shared" si="7"/>
        <v>0.9</v>
      </c>
      <c r="P18" s="22">
        <f t="shared" si="7"/>
        <v>3840</v>
      </c>
      <c r="Q18" s="22">
        <f t="shared" si="7"/>
        <v>78.900000000000006</v>
      </c>
      <c r="R18" s="22">
        <f t="shared" si="7"/>
        <v>2.8000000000000007</v>
      </c>
      <c r="S18" s="22">
        <f t="shared" si="7"/>
        <v>0</v>
      </c>
      <c r="T18" s="22">
        <f t="shared" si="7"/>
        <v>1.2000000000000002</v>
      </c>
      <c r="U18" s="40">
        <f t="shared" si="7"/>
        <v>3923.8</v>
      </c>
    </row>
    <row r="19" spans="1:21" ht="19.95" customHeight="1" x14ac:dyDescent="0.3">
      <c r="A19" s="52"/>
      <c r="B19" s="24"/>
      <c r="C19" s="24">
        <v>64021</v>
      </c>
      <c r="D19" s="25" t="s">
        <v>52</v>
      </c>
      <c r="E19" s="43"/>
      <c r="F19" s="27">
        <v>1481.6</v>
      </c>
      <c r="G19" s="27">
        <v>0</v>
      </c>
      <c r="H19" s="44">
        <v>106.1</v>
      </c>
      <c r="I19" s="49">
        <f>H19*Subsector!$S$11</f>
        <v>0.37614215049113953</v>
      </c>
      <c r="J19" s="26">
        <f>H19*Subsector!$S$12</f>
        <v>63.862359502270102</v>
      </c>
      <c r="K19" s="26">
        <f>H19*Subsector!$S$13</f>
        <v>40.024177982459108</v>
      </c>
      <c r="L19" s="26">
        <f>H19*Subsector!$S$15</f>
        <v>1.3321125388444475</v>
      </c>
      <c r="M19" s="26">
        <f>H19*Subsector!$S$16</f>
        <v>0</v>
      </c>
      <c r="N19" s="66">
        <f>H19*Subsector!$S$17</f>
        <v>0.50520782593519697</v>
      </c>
      <c r="O19" s="41">
        <f t="shared" ref="O19:P26" si="8">ROUNDUP(SUM(E19,I19),1)</f>
        <v>0.4</v>
      </c>
      <c r="P19" s="26">
        <f t="shared" si="8"/>
        <v>1545.5</v>
      </c>
      <c r="Q19" s="26">
        <f t="shared" ref="Q19:Q26" si="9">ROUNDUP(SUM(K19),1)</f>
        <v>40.1</v>
      </c>
      <c r="R19" s="26">
        <f t="shared" ref="R19:R26" si="10">ROUNDUP(SUM(G19,L19),1)</f>
        <v>1.4000000000000001</v>
      </c>
      <c r="S19" s="26">
        <f t="shared" ref="S19:T26" si="11">ROUNDUP(SUM(M19),1)</f>
        <v>0</v>
      </c>
      <c r="T19" s="26">
        <f t="shared" si="11"/>
        <v>0.6</v>
      </c>
      <c r="U19" s="42">
        <f t="shared" ref="U19:U26" si="12">SUM(O19:T19)</f>
        <v>1588</v>
      </c>
    </row>
    <row r="20" spans="1:21" ht="19.95" customHeight="1" x14ac:dyDescent="0.3">
      <c r="A20" s="52"/>
      <c r="B20" s="24"/>
      <c r="C20" s="24">
        <v>64022</v>
      </c>
      <c r="D20" s="25" t="s">
        <v>53</v>
      </c>
      <c r="E20" s="43"/>
      <c r="F20" s="27">
        <v>1478</v>
      </c>
      <c r="G20" s="27">
        <v>0</v>
      </c>
      <c r="H20" s="44">
        <v>89.6</v>
      </c>
      <c r="I20" s="49">
        <f>H20*Subsector!$S$11</f>
        <v>0.31764690559854952</v>
      </c>
      <c r="J20" s="26">
        <f>H20*Subsector!$S$12</f>
        <v>53.930889834150811</v>
      </c>
      <c r="K20" s="26">
        <f>H20*Subsector!$S$13</f>
        <v>33.799871321661982</v>
      </c>
      <c r="L20" s="26">
        <f>H20*Subsector!$S$15</f>
        <v>1.1249508339346135</v>
      </c>
      <c r="M20" s="26">
        <f>H20*Subsector!$S$16</f>
        <v>0</v>
      </c>
      <c r="N20" s="66">
        <f>H20*Subsector!$S$17</f>
        <v>0.42664110465404009</v>
      </c>
      <c r="O20" s="41">
        <f t="shared" si="8"/>
        <v>0.4</v>
      </c>
      <c r="P20" s="26">
        <f t="shared" si="8"/>
        <v>1532</v>
      </c>
      <c r="Q20" s="26">
        <f t="shared" si="9"/>
        <v>33.800000000000004</v>
      </c>
      <c r="R20" s="26">
        <f t="shared" si="10"/>
        <v>1.2000000000000002</v>
      </c>
      <c r="S20" s="26">
        <f t="shared" si="11"/>
        <v>0</v>
      </c>
      <c r="T20" s="26">
        <f t="shared" si="11"/>
        <v>0.5</v>
      </c>
      <c r="U20" s="42">
        <f t="shared" si="12"/>
        <v>1567.9</v>
      </c>
    </row>
    <row r="21" spans="1:21" ht="19.95" customHeight="1" x14ac:dyDescent="0.3">
      <c r="A21" s="52"/>
      <c r="B21" s="24"/>
      <c r="C21" s="24">
        <v>64023</v>
      </c>
      <c r="D21" s="25" t="s">
        <v>54</v>
      </c>
      <c r="E21" s="43"/>
      <c r="F21" s="27">
        <v>532</v>
      </c>
      <c r="G21" s="27">
        <v>0</v>
      </c>
      <c r="H21" s="44">
        <v>0</v>
      </c>
      <c r="I21" s="49">
        <f>H21*Subsector!$S$11</f>
        <v>0</v>
      </c>
      <c r="J21" s="26">
        <f>H21*Subsector!$S$12</f>
        <v>0</v>
      </c>
      <c r="K21" s="26">
        <f>H21*Subsector!$S$13</f>
        <v>0</v>
      </c>
      <c r="L21" s="26">
        <f>H21*Subsector!$S$15</f>
        <v>0</v>
      </c>
      <c r="M21" s="26">
        <f>H21*Subsector!$S$16</f>
        <v>0</v>
      </c>
      <c r="N21" s="66">
        <f>H21*Subsector!$S$17</f>
        <v>0</v>
      </c>
      <c r="O21" s="41">
        <f t="shared" si="8"/>
        <v>0</v>
      </c>
      <c r="P21" s="26">
        <f t="shared" si="8"/>
        <v>532</v>
      </c>
      <c r="Q21" s="26">
        <f t="shared" si="9"/>
        <v>0</v>
      </c>
      <c r="R21" s="26">
        <f t="shared" si="10"/>
        <v>0</v>
      </c>
      <c r="S21" s="26">
        <f t="shared" si="11"/>
        <v>0</v>
      </c>
      <c r="T21" s="26">
        <f t="shared" si="11"/>
        <v>0</v>
      </c>
      <c r="U21" s="42">
        <f t="shared" si="12"/>
        <v>532</v>
      </c>
    </row>
    <row r="22" spans="1:21" ht="19.95" hidden="1" customHeight="1" x14ac:dyDescent="0.3">
      <c r="A22" s="52"/>
      <c r="B22" s="24"/>
      <c r="C22" s="24">
        <v>64024</v>
      </c>
      <c r="D22" s="25" t="s">
        <v>55</v>
      </c>
      <c r="E22" s="43"/>
      <c r="F22" s="27"/>
      <c r="G22" s="27"/>
      <c r="H22" s="44"/>
      <c r="I22" s="49">
        <f>H22*Subsector!$S$11</f>
        <v>0</v>
      </c>
      <c r="J22" s="26">
        <f>H22*Subsector!$S$12</f>
        <v>0</v>
      </c>
      <c r="K22" s="26">
        <f>H22*Subsector!$S$13</f>
        <v>0</v>
      </c>
      <c r="L22" s="26">
        <f>H22*Subsector!$S$15</f>
        <v>0</v>
      </c>
      <c r="M22" s="26">
        <f>H22*Subsector!$S$16</f>
        <v>0</v>
      </c>
      <c r="N22" s="66">
        <f>H22*Subsector!$S$17</f>
        <v>0</v>
      </c>
      <c r="O22" s="41">
        <f t="shared" si="8"/>
        <v>0</v>
      </c>
      <c r="P22" s="26">
        <f t="shared" si="8"/>
        <v>0</v>
      </c>
      <c r="Q22" s="26">
        <f t="shared" si="9"/>
        <v>0</v>
      </c>
      <c r="R22" s="26">
        <f t="shared" si="10"/>
        <v>0</v>
      </c>
      <c r="S22" s="26">
        <f t="shared" si="11"/>
        <v>0</v>
      </c>
      <c r="T22" s="26">
        <f t="shared" si="11"/>
        <v>0</v>
      </c>
      <c r="U22" s="42">
        <f t="shared" si="12"/>
        <v>0</v>
      </c>
    </row>
    <row r="23" spans="1:21" ht="19.95" hidden="1" customHeight="1" x14ac:dyDescent="0.3">
      <c r="A23" s="52"/>
      <c r="B23" s="24"/>
      <c r="C23" s="24">
        <v>64025</v>
      </c>
      <c r="D23" s="25" t="s">
        <v>56</v>
      </c>
      <c r="E23" s="43"/>
      <c r="F23" s="27"/>
      <c r="G23" s="27"/>
      <c r="H23" s="44"/>
      <c r="I23" s="49">
        <f>H23*Subsector!$S$11</f>
        <v>0</v>
      </c>
      <c r="J23" s="26">
        <f>H23*Subsector!$S$12</f>
        <v>0</v>
      </c>
      <c r="K23" s="26">
        <f>H23*Subsector!$S$13</f>
        <v>0</v>
      </c>
      <c r="L23" s="26">
        <f>H23*Subsector!$S$15</f>
        <v>0</v>
      </c>
      <c r="M23" s="26">
        <f>H23*Subsector!$S$16</f>
        <v>0</v>
      </c>
      <c r="N23" s="66">
        <f>H23*Subsector!$S$17</f>
        <v>0</v>
      </c>
      <c r="O23" s="41">
        <f t="shared" si="8"/>
        <v>0</v>
      </c>
      <c r="P23" s="26">
        <f t="shared" si="8"/>
        <v>0</v>
      </c>
      <c r="Q23" s="26">
        <f t="shared" si="9"/>
        <v>0</v>
      </c>
      <c r="R23" s="26">
        <f t="shared" si="10"/>
        <v>0</v>
      </c>
      <c r="S23" s="26">
        <f t="shared" si="11"/>
        <v>0</v>
      </c>
      <c r="T23" s="26">
        <f t="shared" si="11"/>
        <v>0</v>
      </c>
      <c r="U23" s="42">
        <f t="shared" si="12"/>
        <v>0</v>
      </c>
    </row>
    <row r="24" spans="1:21" ht="19.95" customHeight="1" x14ac:dyDescent="0.3">
      <c r="A24" s="52"/>
      <c r="B24" s="24"/>
      <c r="C24" s="24">
        <v>64026</v>
      </c>
      <c r="D24" s="25" t="s">
        <v>57</v>
      </c>
      <c r="E24" s="43"/>
      <c r="F24" s="27">
        <v>222.6</v>
      </c>
      <c r="G24" s="27">
        <v>0</v>
      </c>
      <c r="H24" s="44">
        <v>13</v>
      </c>
      <c r="I24" s="49">
        <f>H24*Subsector!$S$11</f>
        <v>4.6087162642646694E-2</v>
      </c>
      <c r="J24" s="26">
        <f>H24*Subsector!$S$12</f>
        <v>7.8247942839727749</v>
      </c>
      <c r="K24" s="26">
        <f>H24*Subsector!$S$13</f>
        <v>4.9039991872947075</v>
      </c>
      <c r="L24" s="26">
        <f>H24*Subsector!$S$15</f>
        <v>0.16321831295926312</v>
      </c>
      <c r="M24" s="26">
        <f>H24*Subsector!$S$16</f>
        <v>0</v>
      </c>
      <c r="N24" s="66">
        <f>H24*Subsector!$S$17</f>
        <v>6.1901053130608494E-2</v>
      </c>
      <c r="O24" s="41">
        <f t="shared" si="8"/>
        <v>0.1</v>
      </c>
      <c r="P24" s="26">
        <f t="shared" si="8"/>
        <v>230.5</v>
      </c>
      <c r="Q24" s="26">
        <f t="shared" si="9"/>
        <v>5</v>
      </c>
      <c r="R24" s="26">
        <f t="shared" si="10"/>
        <v>0.2</v>
      </c>
      <c r="S24" s="26">
        <f t="shared" si="11"/>
        <v>0</v>
      </c>
      <c r="T24" s="26">
        <f t="shared" si="11"/>
        <v>0.1</v>
      </c>
      <c r="U24" s="42">
        <f t="shared" si="12"/>
        <v>235.89999999999998</v>
      </c>
    </row>
    <row r="25" spans="1:21" ht="19.95" hidden="1" customHeight="1" x14ac:dyDescent="0.3">
      <c r="A25" s="52"/>
      <c r="B25" s="24"/>
      <c r="C25" s="24">
        <v>64027</v>
      </c>
      <c r="D25" s="25" t="s">
        <v>58</v>
      </c>
      <c r="E25" s="43"/>
      <c r="F25" s="27"/>
      <c r="G25" s="27"/>
      <c r="H25" s="44"/>
      <c r="I25" s="49">
        <f>H25*Subsector!$S$11</f>
        <v>0</v>
      </c>
      <c r="J25" s="26">
        <f>H25*Subsector!$S$12</f>
        <v>0</v>
      </c>
      <c r="K25" s="26">
        <f>H25*Subsector!$S$13</f>
        <v>0</v>
      </c>
      <c r="L25" s="26">
        <f>H25*Subsector!$S$15</f>
        <v>0</v>
      </c>
      <c r="M25" s="26">
        <f>H25*Subsector!$S$16</f>
        <v>0</v>
      </c>
      <c r="N25" s="66">
        <f>H25*Subsector!$S$17</f>
        <v>0</v>
      </c>
      <c r="O25" s="41">
        <f t="shared" si="8"/>
        <v>0</v>
      </c>
      <c r="P25" s="26">
        <f t="shared" si="8"/>
        <v>0</v>
      </c>
      <c r="Q25" s="26">
        <f t="shared" si="9"/>
        <v>0</v>
      </c>
      <c r="R25" s="26">
        <f t="shared" si="10"/>
        <v>0</v>
      </c>
      <c r="S25" s="26">
        <f t="shared" si="11"/>
        <v>0</v>
      </c>
      <c r="T25" s="26">
        <f t="shared" si="11"/>
        <v>0</v>
      </c>
      <c r="U25" s="42">
        <f t="shared" si="12"/>
        <v>0</v>
      </c>
    </row>
    <row r="26" spans="1:21" ht="19.95" hidden="1" customHeight="1" x14ac:dyDescent="0.3">
      <c r="A26" s="52"/>
      <c r="B26" s="24"/>
      <c r="C26" s="24">
        <v>64028</v>
      </c>
      <c r="D26" s="25" t="s">
        <v>59</v>
      </c>
      <c r="E26" s="43"/>
      <c r="F26" s="27"/>
      <c r="G26" s="27"/>
      <c r="H26" s="44"/>
      <c r="I26" s="49">
        <f>H26*Subsector!$S$11</f>
        <v>0</v>
      </c>
      <c r="J26" s="26">
        <f>H26*Subsector!$S$12</f>
        <v>0</v>
      </c>
      <c r="K26" s="26">
        <f>H26*Subsector!$S$13</f>
        <v>0</v>
      </c>
      <c r="L26" s="26">
        <f>H26*Subsector!$S$15</f>
        <v>0</v>
      </c>
      <c r="M26" s="26">
        <f>H26*Subsector!$S$16</f>
        <v>0</v>
      </c>
      <c r="N26" s="66">
        <f>H26*Subsector!$S$17</f>
        <v>0</v>
      </c>
      <c r="O26" s="41">
        <f t="shared" si="8"/>
        <v>0</v>
      </c>
      <c r="P26" s="26">
        <f t="shared" si="8"/>
        <v>0</v>
      </c>
      <c r="Q26" s="26">
        <f t="shared" si="9"/>
        <v>0</v>
      </c>
      <c r="R26" s="26">
        <f t="shared" si="10"/>
        <v>0</v>
      </c>
      <c r="S26" s="26">
        <f t="shared" si="11"/>
        <v>0</v>
      </c>
      <c r="T26" s="26">
        <f t="shared" si="11"/>
        <v>0</v>
      </c>
      <c r="U26" s="42">
        <f t="shared" si="12"/>
        <v>0</v>
      </c>
    </row>
    <row r="27" spans="1:21" ht="19.95" hidden="1" customHeight="1" x14ac:dyDescent="0.3">
      <c r="A27" s="51"/>
      <c r="B27" s="23">
        <v>6403</v>
      </c>
      <c r="C27" s="23"/>
      <c r="D27" s="21" t="s">
        <v>60</v>
      </c>
      <c r="E27" s="39">
        <f>SUM(E28:E32)</f>
        <v>0</v>
      </c>
      <c r="F27" s="22">
        <f t="shared" ref="F27:U27" si="13">SUM(F28:F32)</f>
        <v>0</v>
      </c>
      <c r="G27" s="22">
        <f t="shared" si="13"/>
        <v>0</v>
      </c>
      <c r="H27" s="40">
        <f t="shared" si="13"/>
        <v>0</v>
      </c>
      <c r="I27" s="36">
        <f t="shared" si="13"/>
        <v>0</v>
      </c>
      <c r="J27" s="22">
        <f t="shared" si="13"/>
        <v>0</v>
      </c>
      <c r="K27" s="22">
        <f t="shared" si="13"/>
        <v>0</v>
      </c>
      <c r="L27" s="22">
        <f t="shared" si="13"/>
        <v>0</v>
      </c>
      <c r="M27" s="22">
        <f t="shared" si="13"/>
        <v>0</v>
      </c>
      <c r="N27" s="65">
        <f t="shared" si="13"/>
        <v>0</v>
      </c>
      <c r="O27" s="39">
        <f t="shared" si="13"/>
        <v>0</v>
      </c>
      <c r="P27" s="22">
        <f t="shared" si="13"/>
        <v>0</v>
      </c>
      <c r="Q27" s="22">
        <f t="shared" si="13"/>
        <v>0</v>
      </c>
      <c r="R27" s="22">
        <f t="shared" si="13"/>
        <v>0</v>
      </c>
      <c r="S27" s="22">
        <f t="shared" si="13"/>
        <v>0</v>
      </c>
      <c r="T27" s="22">
        <f t="shared" si="13"/>
        <v>0</v>
      </c>
      <c r="U27" s="40">
        <f t="shared" si="13"/>
        <v>0</v>
      </c>
    </row>
    <row r="28" spans="1:21" ht="19.95" hidden="1" customHeight="1" x14ac:dyDescent="0.3">
      <c r="A28" s="52"/>
      <c r="B28" s="24"/>
      <c r="C28" s="24">
        <v>64033</v>
      </c>
      <c r="D28" s="25" t="s">
        <v>61</v>
      </c>
      <c r="E28" s="43"/>
      <c r="F28" s="27"/>
      <c r="G28" s="27"/>
      <c r="H28" s="44"/>
      <c r="I28" s="49">
        <f>H28*Subsector!$S$11</f>
        <v>0</v>
      </c>
      <c r="J28" s="26">
        <f>H28*Subsector!$S$12</f>
        <v>0</v>
      </c>
      <c r="K28" s="26">
        <f>H28*Subsector!$S$13</f>
        <v>0</v>
      </c>
      <c r="L28" s="26">
        <f>H28*Subsector!$S$15</f>
        <v>0</v>
      </c>
      <c r="M28" s="26">
        <f>H28*Subsector!$S$16</f>
        <v>0</v>
      </c>
      <c r="N28" s="66">
        <f>H28*Subsector!$S$17</f>
        <v>0</v>
      </c>
      <c r="O28" s="41">
        <f t="shared" ref="O28:P32" si="14">ROUNDUP(SUM(E28,I28),1)</f>
        <v>0</v>
      </c>
      <c r="P28" s="26">
        <f t="shared" si="14"/>
        <v>0</v>
      </c>
      <c r="Q28" s="26">
        <f>ROUNDUP(SUM(K28),1)</f>
        <v>0</v>
      </c>
      <c r="R28" s="26">
        <f>ROUNDUP(SUM(G28,L28),1)</f>
        <v>0</v>
      </c>
      <c r="S28" s="26">
        <f t="shared" ref="S28:T32" si="15">ROUNDUP(SUM(M28),1)</f>
        <v>0</v>
      </c>
      <c r="T28" s="26">
        <f t="shared" si="15"/>
        <v>0</v>
      </c>
      <c r="U28" s="42">
        <f>SUM(O28:T28)</f>
        <v>0</v>
      </c>
    </row>
    <row r="29" spans="1:21" ht="19.95" hidden="1" customHeight="1" x14ac:dyDescent="0.3">
      <c r="A29" s="52"/>
      <c r="B29" s="24"/>
      <c r="C29" s="24">
        <v>64034</v>
      </c>
      <c r="D29" s="25" t="s">
        <v>62</v>
      </c>
      <c r="E29" s="43"/>
      <c r="F29" s="27"/>
      <c r="G29" s="27"/>
      <c r="H29" s="44"/>
      <c r="I29" s="49">
        <f>H29*Subsector!$S$11</f>
        <v>0</v>
      </c>
      <c r="J29" s="26">
        <f>H29*Subsector!$S$12</f>
        <v>0</v>
      </c>
      <c r="K29" s="26">
        <f>H29*Subsector!$S$13</f>
        <v>0</v>
      </c>
      <c r="L29" s="26">
        <f>H29*Subsector!$S$15</f>
        <v>0</v>
      </c>
      <c r="M29" s="26">
        <f>H29*Subsector!$S$16</f>
        <v>0</v>
      </c>
      <c r="N29" s="66">
        <f>H29*Subsector!$S$17</f>
        <v>0</v>
      </c>
      <c r="O29" s="41">
        <f t="shared" si="14"/>
        <v>0</v>
      </c>
      <c r="P29" s="26">
        <f t="shared" si="14"/>
        <v>0</v>
      </c>
      <c r="Q29" s="26">
        <f>ROUNDUP(SUM(K29),1)</f>
        <v>0</v>
      </c>
      <c r="R29" s="26">
        <f>ROUNDUP(SUM(G29,L29),1)</f>
        <v>0</v>
      </c>
      <c r="S29" s="26">
        <f t="shared" si="15"/>
        <v>0</v>
      </c>
      <c r="T29" s="26">
        <f t="shared" si="15"/>
        <v>0</v>
      </c>
      <c r="U29" s="42">
        <f>SUM(O29:T29)</f>
        <v>0</v>
      </c>
    </row>
    <row r="30" spans="1:21" ht="19.95" hidden="1" customHeight="1" x14ac:dyDescent="0.3">
      <c r="A30" s="52"/>
      <c r="B30" s="24"/>
      <c r="C30" s="24">
        <v>64035</v>
      </c>
      <c r="D30" s="25" t="s">
        <v>63</v>
      </c>
      <c r="E30" s="43"/>
      <c r="F30" s="27"/>
      <c r="G30" s="27"/>
      <c r="H30" s="44"/>
      <c r="I30" s="49">
        <f>H30*Subsector!$S$11</f>
        <v>0</v>
      </c>
      <c r="J30" s="26">
        <f>H30*Subsector!$S$12</f>
        <v>0</v>
      </c>
      <c r="K30" s="26">
        <f>H30*Subsector!$S$13</f>
        <v>0</v>
      </c>
      <c r="L30" s="26">
        <f>H30*Subsector!$S$15</f>
        <v>0</v>
      </c>
      <c r="M30" s="26">
        <f>H30*Subsector!$S$16</f>
        <v>0</v>
      </c>
      <c r="N30" s="66">
        <f>H30*Subsector!$S$17</f>
        <v>0</v>
      </c>
      <c r="O30" s="41">
        <f t="shared" si="14"/>
        <v>0</v>
      </c>
      <c r="P30" s="26">
        <f t="shared" si="14"/>
        <v>0</v>
      </c>
      <c r="Q30" s="26">
        <f>ROUNDUP(SUM(K30),1)</f>
        <v>0</v>
      </c>
      <c r="R30" s="26">
        <f>ROUNDUP(SUM(G30,L30),1)</f>
        <v>0</v>
      </c>
      <c r="S30" s="26">
        <f t="shared" si="15"/>
        <v>0</v>
      </c>
      <c r="T30" s="26">
        <f t="shared" si="15"/>
        <v>0</v>
      </c>
      <c r="U30" s="42">
        <f>SUM(O30:T30)</f>
        <v>0</v>
      </c>
    </row>
    <row r="31" spans="1:21" ht="19.95" hidden="1" customHeight="1" x14ac:dyDescent="0.3">
      <c r="A31" s="52"/>
      <c r="B31" s="24"/>
      <c r="C31" s="24">
        <v>64037</v>
      </c>
      <c r="D31" s="25" t="s">
        <v>64</v>
      </c>
      <c r="E31" s="43"/>
      <c r="F31" s="27"/>
      <c r="G31" s="27"/>
      <c r="H31" s="44"/>
      <c r="I31" s="49">
        <f>H31*Subsector!$S$11</f>
        <v>0</v>
      </c>
      <c r="J31" s="26">
        <f>H31*Subsector!$S$12</f>
        <v>0</v>
      </c>
      <c r="K31" s="26">
        <f>H31*Subsector!$S$13</f>
        <v>0</v>
      </c>
      <c r="L31" s="26">
        <f>H31*Subsector!$S$15</f>
        <v>0</v>
      </c>
      <c r="M31" s="26">
        <f>H31*Subsector!$S$16</f>
        <v>0</v>
      </c>
      <c r="N31" s="66">
        <f>H31*Subsector!$S$17</f>
        <v>0</v>
      </c>
      <c r="O31" s="41">
        <f t="shared" si="14"/>
        <v>0</v>
      </c>
      <c r="P31" s="26">
        <f t="shared" si="14"/>
        <v>0</v>
      </c>
      <c r="Q31" s="26">
        <f>ROUNDUP(SUM(K31),1)</f>
        <v>0</v>
      </c>
      <c r="R31" s="26">
        <f>ROUNDUP(SUM(G31,L31),1)</f>
        <v>0</v>
      </c>
      <c r="S31" s="26">
        <f t="shared" si="15"/>
        <v>0</v>
      </c>
      <c r="T31" s="26">
        <f t="shared" si="15"/>
        <v>0</v>
      </c>
      <c r="U31" s="42">
        <f>SUM(O31:T31)</f>
        <v>0</v>
      </c>
    </row>
    <row r="32" spans="1:21" ht="19.95" hidden="1" customHeight="1" x14ac:dyDescent="0.3">
      <c r="A32" s="52"/>
      <c r="B32" s="24"/>
      <c r="C32" s="24">
        <v>64038</v>
      </c>
      <c r="D32" s="25" t="s">
        <v>60</v>
      </c>
      <c r="E32" s="43"/>
      <c r="F32" s="27"/>
      <c r="G32" s="27"/>
      <c r="H32" s="44"/>
      <c r="I32" s="49">
        <f>H32*Subsector!$S$11</f>
        <v>0</v>
      </c>
      <c r="J32" s="26">
        <f>H32*Subsector!$S$12</f>
        <v>0</v>
      </c>
      <c r="K32" s="26">
        <f>H32*Subsector!$S$13</f>
        <v>0</v>
      </c>
      <c r="L32" s="26">
        <f>H32*Subsector!$S$15</f>
        <v>0</v>
      </c>
      <c r="M32" s="26">
        <f>H32*Subsector!$S$16</f>
        <v>0</v>
      </c>
      <c r="N32" s="66">
        <f>H32*Subsector!$S$17</f>
        <v>0</v>
      </c>
      <c r="O32" s="41">
        <f t="shared" si="14"/>
        <v>0</v>
      </c>
      <c r="P32" s="26">
        <f t="shared" si="14"/>
        <v>0</v>
      </c>
      <c r="Q32" s="26">
        <f>ROUNDUP(SUM(K32),1)</f>
        <v>0</v>
      </c>
      <c r="R32" s="26">
        <f>ROUNDUP(SUM(G32,L32),1)</f>
        <v>0</v>
      </c>
      <c r="S32" s="26">
        <f t="shared" si="15"/>
        <v>0</v>
      </c>
      <c r="T32" s="26">
        <f t="shared" si="15"/>
        <v>0</v>
      </c>
      <c r="U32" s="42">
        <f>SUM(O32:T32)</f>
        <v>0</v>
      </c>
    </row>
    <row r="33" spans="1:21" ht="19.95" customHeight="1" x14ac:dyDescent="0.3">
      <c r="A33" s="51"/>
      <c r="B33" s="23">
        <v>6404</v>
      </c>
      <c r="C33" s="23"/>
      <c r="D33" s="21" t="s">
        <v>65</v>
      </c>
      <c r="E33" s="39">
        <f>SUM(E34:E36)</f>
        <v>0</v>
      </c>
      <c r="F33" s="22">
        <f t="shared" ref="F33:U33" si="16">SUM(F34:F36)</f>
        <v>12</v>
      </c>
      <c r="G33" s="22">
        <f t="shared" si="16"/>
        <v>56.6</v>
      </c>
      <c r="H33" s="40">
        <f t="shared" si="16"/>
        <v>0</v>
      </c>
      <c r="I33" s="36">
        <f t="shared" si="16"/>
        <v>0</v>
      </c>
      <c r="J33" s="22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65">
        <f t="shared" si="16"/>
        <v>0</v>
      </c>
      <c r="O33" s="39">
        <f t="shared" si="16"/>
        <v>0</v>
      </c>
      <c r="P33" s="22">
        <f t="shared" si="16"/>
        <v>12</v>
      </c>
      <c r="Q33" s="22">
        <f t="shared" si="16"/>
        <v>0</v>
      </c>
      <c r="R33" s="22">
        <f t="shared" si="16"/>
        <v>56.6</v>
      </c>
      <c r="S33" s="22">
        <f t="shared" si="16"/>
        <v>0</v>
      </c>
      <c r="T33" s="22">
        <f t="shared" si="16"/>
        <v>0</v>
      </c>
      <c r="U33" s="40">
        <f t="shared" si="16"/>
        <v>68.599999999999994</v>
      </c>
    </row>
    <row r="34" spans="1:21" ht="19.95" customHeight="1" x14ac:dyDescent="0.3">
      <c r="A34" s="52"/>
      <c r="B34" s="24"/>
      <c r="C34" s="24">
        <v>64041</v>
      </c>
      <c r="D34" s="25" t="s">
        <v>66</v>
      </c>
      <c r="E34" s="43"/>
      <c r="F34" s="27">
        <v>12</v>
      </c>
      <c r="G34" s="27">
        <v>56.6</v>
      </c>
      <c r="H34" s="44">
        <v>0</v>
      </c>
      <c r="I34" s="49">
        <f>H34*Subsector!$S$11</f>
        <v>0</v>
      </c>
      <c r="J34" s="26">
        <f>H34*Subsector!$S$12</f>
        <v>0</v>
      </c>
      <c r="K34" s="26">
        <f>H34*Subsector!$S$13</f>
        <v>0</v>
      </c>
      <c r="L34" s="26">
        <f>H34*Subsector!$S$15</f>
        <v>0</v>
      </c>
      <c r="M34" s="26">
        <f>H34*Subsector!$S$16</f>
        <v>0</v>
      </c>
      <c r="N34" s="66">
        <f>H34*Subsector!$S$17</f>
        <v>0</v>
      </c>
      <c r="O34" s="41">
        <f t="shared" ref="O34:P36" si="17">ROUNDUP(SUM(E34,I34),1)</f>
        <v>0</v>
      </c>
      <c r="P34" s="26">
        <f t="shared" si="17"/>
        <v>12</v>
      </c>
      <c r="Q34" s="26">
        <f>ROUNDUP(SUM(K34),1)</f>
        <v>0</v>
      </c>
      <c r="R34" s="26">
        <f>ROUNDUP(SUM(G34,L34),1)</f>
        <v>56.6</v>
      </c>
      <c r="S34" s="26">
        <f t="shared" ref="S34:T36" si="18">ROUNDUP(SUM(M34),1)</f>
        <v>0</v>
      </c>
      <c r="T34" s="26">
        <f t="shared" si="18"/>
        <v>0</v>
      </c>
      <c r="U34" s="42">
        <f>SUM(O34:T34)</f>
        <v>68.599999999999994</v>
      </c>
    </row>
    <row r="35" spans="1:21" ht="19.95" hidden="1" customHeight="1" x14ac:dyDescent="0.3">
      <c r="A35" s="52"/>
      <c r="B35" s="24"/>
      <c r="C35" s="24">
        <v>64042</v>
      </c>
      <c r="D35" s="25" t="s">
        <v>67</v>
      </c>
      <c r="E35" s="43"/>
      <c r="F35" s="27"/>
      <c r="G35" s="27"/>
      <c r="H35" s="44"/>
      <c r="I35" s="49">
        <f>H35*Subsector!$S$11</f>
        <v>0</v>
      </c>
      <c r="J35" s="26">
        <f>H35*Subsector!$S$12</f>
        <v>0</v>
      </c>
      <c r="K35" s="26">
        <f>H35*Subsector!$S$13</f>
        <v>0</v>
      </c>
      <c r="L35" s="26">
        <f>H35*Subsector!$S$15</f>
        <v>0</v>
      </c>
      <c r="M35" s="26">
        <f>H35*Subsector!$S$16</f>
        <v>0</v>
      </c>
      <c r="N35" s="66">
        <f>H35*Subsector!$S$17</f>
        <v>0</v>
      </c>
      <c r="O35" s="41">
        <f t="shared" si="17"/>
        <v>0</v>
      </c>
      <c r="P35" s="26">
        <f t="shared" si="17"/>
        <v>0</v>
      </c>
      <c r="Q35" s="26">
        <f>ROUNDUP(SUM(K35),1)</f>
        <v>0</v>
      </c>
      <c r="R35" s="26">
        <f>ROUNDUP(SUM(G35,L35),1)</f>
        <v>0</v>
      </c>
      <c r="S35" s="26">
        <f t="shared" si="18"/>
        <v>0</v>
      </c>
      <c r="T35" s="26">
        <f t="shared" si="18"/>
        <v>0</v>
      </c>
      <c r="U35" s="42">
        <f>SUM(O35:T35)</f>
        <v>0</v>
      </c>
    </row>
    <row r="36" spans="1:21" ht="19.95" hidden="1" customHeight="1" x14ac:dyDescent="0.3">
      <c r="A36" s="53"/>
      <c r="B36" s="23"/>
      <c r="C36" s="24">
        <v>64048</v>
      </c>
      <c r="D36" s="25" t="s">
        <v>68</v>
      </c>
      <c r="E36" s="43"/>
      <c r="F36" s="27"/>
      <c r="G36" s="27"/>
      <c r="H36" s="44"/>
      <c r="I36" s="49">
        <f>H36*Subsector!$S$11</f>
        <v>0</v>
      </c>
      <c r="J36" s="26">
        <f>H36*Subsector!$S$12</f>
        <v>0</v>
      </c>
      <c r="K36" s="26">
        <f>H36*Subsector!$S$13</f>
        <v>0</v>
      </c>
      <c r="L36" s="26">
        <f>H36*Subsector!$S$15</f>
        <v>0</v>
      </c>
      <c r="M36" s="26">
        <f>H36*Subsector!$S$16</f>
        <v>0</v>
      </c>
      <c r="N36" s="66">
        <f>H36*Subsector!$S$17</f>
        <v>0</v>
      </c>
      <c r="O36" s="41">
        <f t="shared" si="17"/>
        <v>0</v>
      </c>
      <c r="P36" s="26">
        <f t="shared" si="17"/>
        <v>0</v>
      </c>
      <c r="Q36" s="26">
        <f>ROUNDUP(SUM(K36),1)</f>
        <v>0</v>
      </c>
      <c r="R36" s="26">
        <f>ROUNDUP(SUM(G36,L36),1)</f>
        <v>0</v>
      </c>
      <c r="S36" s="26">
        <f t="shared" si="18"/>
        <v>0</v>
      </c>
      <c r="T36" s="26">
        <f t="shared" si="18"/>
        <v>0</v>
      </c>
      <c r="U36" s="42">
        <f>SUM(O36:T36)</f>
        <v>0</v>
      </c>
    </row>
    <row r="37" spans="1:21" ht="19.95" customHeight="1" x14ac:dyDescent="0.3">
      <c r="A37" s="54"/>
      <c r="B37" s="23">
        <v>6405</v>
      </c>
      <c r="C37" s="23"/>
      <c r="D37" s="21" t="s">
        <v>69</v>
      </c>
      <c r="E37" s="39">
        <f>SUM(E38:E44)</f>
        <v>0</v>
      </c>
      <c r="F37" s="22">
        <f t="shared" ref="F37:U37" si="19">SUM(F38:F44)</f>
        <v>51.500000000000007</v>
      </c>
      <c r="G37" s="22">
        <f t="shared" si="19"/>
        <v>0</v>
      </c>
      <c r="H37" s="40">
        <f t="shared" si="19"/>
        <v>0</v>
      </c>
      <c r="I37" s="36">
        <f t="shared" si="19"/>
        <v>0</v>
      </c>
      <c r="J37" s="22">
        <f t="shared" si="19"/>
        <v>0</v>
      </c>
      <c r="K37" s="22">
        <f t="shared" si="19"/>
        <v>0</v>
      </c>
      <c r="L37" s="22">
        <f t="shared" si="19"/>
        <v>0</v>
      </c>
      <c r="M37" s="22">
        <f t="shared" si="19"/>
        <v>0</v>
      </c>
      <c r="N37" s="65">
        <f t="shared" si="19"/>
        <v>0</v>
      </c>
      <c r="O37" s="39">
        <f t="shared" si="19"/>
        <v>0</v>
      </c>
      <c r="P37" s="22">
        <f t="shared" si="19"/>
        <v>51.5</v>
      </c>
      <c r="Q37" s="22">
        <f t="shared" si="19"/>
        <v>0</v>
      </c>
      <c r="R37" s="22">
        <f t="shared" si="19"/>
        <v>0</v>
      </c>
      <c r="S37" s="22">
        <f t="shared" si="19"/>
        <v>0</v>
      </c>
      <c r="T37" s="22">
        <f t="shared" si="19"/>
        <v>0</v>
      </c>
      <c r="U37" s="40">
        <f t="shared" si="19"/>
        <v>51.5</v>
      </c>
    </row>
    <row r="38" spans="1:21" ht="19.95" customHeight="1" x14ac:dyDescent="0.3">
      <c r="A38" s="55"/>
      <c r="B38" s="23"/>
      <c r="C38" s="24">
        <v>64051</v>
      </c>
      <c r="D38" s="25" t="s">
        <v>70</v>
      </c>
      <c r="E38" s="43"/>
      <c r="F38" s="27"/>
      <c r="G38" s="27"/>
      <c r="H38" s="44"/>
      <c r="I38" s="49">
        <f>H38*Subsector!$S$11</f>
        <v>0</v>
      </c>
      <c r="J38" s="26">
        <f>H38*Subsector!$S$12</f>
        <v>0</v>
      </c>
      <c r="K38" s="26">
        <f>H38*Subsector!$S$13</f>
        <v>0</v>
      </c>
      <c r="L38" s="26">
        <f>H38*Subsector!$S$15</f>
        <v>0</v>
      </c>
      <c r="M38" s="26">
        <f>H38*Subsector!$S$16</f>
        <v>0</v>
      </c>
      <c r="N38" s="66">
        <f>H38*Subsector!$S$17</f>
        <v>0</v>
      </c>
      <c r="O38" s="41">
        <f t="shared" ref="O38:P44" si="20">ROUNDUP(SUM(E38,I38),1)</f>
        <v>0</v>
      </c>
      <c r="P38" s="26">
        <f t="shared" si="20"/>
        <v>0</v>
      </c>
      <c r="Q38" s="26">
        <f t="shared" ref="Q38:Q44" si="21">ROUNDUP(SUM(K38),1)</f>
        <v>0</v>
      </c>
      <c r="R38" s="26">
        <f t="shared" ref="R38:R44" si="22">ROUNDUP(SUM(G38,L38),1)</f>
        <v>0</v>
      </c>
      <c r="S38" s="26">
        <f t="shared" ref="S38:T44" si="23">ROUNDUP(SUM(M38),1)</f>
        <v>0</v>
      </c>
      <c r="T38" s="26">
        <f t="shared" si="23"/>
        <v>0</v>
      </c>
      <c r="U38" s="42">
        <f t="shared" ref="U38:U44" si="24">SUM(O38:T38)</f>
        <v>0</v>
      </c>
    </row>
    <row r="39" spans="1:21" ht="19.95" customHeight="1" x14ac:dyDescent="0.3">
      <c r="A39" s="55"/>
      <c r="B39" s="24"/>
      <c r="C39" s="24">
        <v>64052</v>
      </c>
      <c r="D39" s="25" t="s">
        <v>71</v>
      </c>
      <c r="E39" s="43"/>
      <c r="F39" s="27">
        <v>16</v>
      </c>
      <c r="G39" s="27">
        <v>0</v>
      </c>
      <c r="H39" s="44">
        <v>0</v>
      </c>
      <c r="I39" s="49">
        <f>H39*Subsector!$S$11</f>
        <v>0</v>
      </c>
      <c r="J39" s="26">
        <f>H39*Subsector!$S$12</f>
        <v>0</v>
      </c>
      <c r="K39" s="26">
        <f>H39*Subsector!$S$13</f>
        <v>0</v>
      </c>
      <c r="L39" s="26">
        <f>H39*Subsector!$S$15</f>
        <v>0</v>
      </c>
      <c r="M39" s="26">
        <f>H39*Subsector!$S$16</f>
        <v>0</v>
      </c>
      <c r="N39" s="66">
        <f>H39*Subsector!$S$17</f>
        <v>0</v>
      </c>
      <c r="O39" s="41">
        <f t="shared" si="20"/>
        <v>0</v>
      </c>
      <c r="P39" s="26">
        <f t="shared" si="20"/>
        <v>16</v>
      </c>
      <c r="Q39" s="26">
        <f t="shared" si="21"/>
        <v>0</v>
      </c>
      <c r="R39" s="26">
        <f t="shared" si="22"/>
        <v>0</v>
      </c>
      <c r="S39" s="26">
        <f t="shared" si="23"/>
        <v>0</v>
      </c>
      <c r="T39" s="26">
        <f t="shared" si="23"/>
        <v>0</v>
      </c>
      <c r="U39" s="42">
        <f t="shared" si="24"/>
        <v>16</v>
      </c>
    </row>
    <row r="40" spans="1:21" ht="19.95" customHeight="1" x14ac:dyDescent="0.3">
      <c r="A40" s="55"/>
      <c r="B40" s="24"/>
      <c r="C40" s="24">
        <v>64053</v>
      </c>
      <c r="D40" s="25" t="s">
        <v>72</v>
      </c>
      <c r="E40" s="43"/>
      <c r="F40" s="27">
        <v>21.900000000000002</v>
      </c>
      <c r="G40" s="27">
        <v>0</v>
      </c>
      <c r="H40" s="44">
        <v>0</v>
      </c>
      <c r="I40" s="49">
        <f>H40*Subsector!$S$11</f>
        <v>0</v>
      </c>
      <c r="J40" s="26">
        <f>H40*Subsector!$S$12</f>
        <v>0</v>
      </c>
      <c r="K40" s="26">
        <f>H40*Subsector!$S$13</f>
        <v>0</v>
      </c>
      <c r="L40" s="26">
        <f>H40*Subsector!$S$15</f>
        <v>0</v>
      </c>
      <c r="M40" s="26">
        <f>H40*Subsector!$S$16</f>
        <v>0</v>
      </c>
      <c r="N40" s="66">
        <f>H40*Subsector!$S$17</f>
        <v>0</v>
      </c>
      <c r="O40" s="41">
        <f t="shared" si="20"/>
        <v>0</v>
      </c>
      <c r="P40" s="26">
        <f t="shared" si="20"/>
        <v>21.9</v>
      </c>
      <c r="Q40" s="26">
        <f t="shared" si="21"/>
        <v>0</v>
      </c>
      <c r="R40" s="26">
        <f t="shared" si="22"/>
        <v>0</v>
      </c>
      <c r="S40" s="26">
        <f t="shared" si="23"/>
        <v>0</v>
      </c>
      <c r="T40" s="26">
        <f t="shared" si="23"/>
        <v>0</v>
      </c>
      <c r="U40" s="42">
        <f t="shared" si="24"/>
        <v>21.9</v>
      </c>
    </row>
    <row r="41" spans="1:21" ht="19.95" customHeight="1" x14ac:dyDescent="0.3">
      <c r="A41" s="55"/>
      <c r="B41" s="24"/>
      <c r="C41" s="24">
        <v>64054</v>
      </c>
      <c r="D41" s="25" t="s">
        <v>73</v>
      </c>
      <c r="E41" s="43"/>
      <c r="F41" s="27">
        <v>13.6</v>
      </c>
      <c r="G41" s="27">
        <v>0</v>
      </c>
      <c r="H41" s="44">
        <v>0</v>
      </c>
      <c r="I41" s="49">
        <f>H41*Subsector!$S$11</f>
        <v>0</v>
      </c>
      <c r="J41" s="26">
        <f>H41*Subsector!$S$12</f>
        <v>0</v>
      </c>
      <c r="K41" s="26">
        <f>H41*Subsector!$S$13</f>
        <v>0</v>
      </c>
      <c r="L41" s="26">
        <f>H41*Subsector!$S$15</f>
        <v>0</v>
      </c>
      <c r="M41" s="26">
        <f>H41*Subsector!$S$16</f>
        <v>0</v>
      </c>
      <c r="N41" s="66">
        <f>H41*Subsector!$S$17</f>
        <v>0</v>
      </c>
      <c r="O41" s="41">
        <f t="shared" si="20"/>
        <v>0</v>
      </c>
      <c r="P41" s="26">
        <f t="shared" si="20"/>
        <v>13.6</v>
      </c>
      <c r="Q41" s="26">
        <f t="shared" si="21"/>
        <v>0</v>
      </c>
      <c r="R41" s="26">
        <f t="shared" si="22"/>
        <v>0</v>
      </c>
      <c r="S41" s="26">
        <f t="shared" si="23"/>
        <v>0</v>
      </c>
      <c r="T41" s="26">
        <f t="shared" si="23"/>
        <v>0</v>
      </c>
      <c r="U41" s="42">
        <f t="shared" si="24"/>
        <v>13.6</v>
      </c>
    </row>
    <row r="42" spans="1:21" ht="19.95" hidden="1" customHeight="1" x14ac:dyDescent="0.3">
      <c r="A42" s="55"/>
      <c r="B42" s="24"/>
      <c r="C42" s="24">
        <v>64055</v>
      </c>
      <c r="D42" s="25" t="s">
        <v>74</v>
      </c>
      <c r="E42" s="43"/>
      <c r="F42" s="27"/>
      <c r="G42" s="27"/>
      <c r="H42" s="44"/>
      <c r="I42" s="49">
        <f>H42*Subsector!$S$11</f>
        <v>0</v>
      </c>
      <c r="J42" s="26">
        <f>H42*Subsector!$S$12</f>
        <v>0</v>
      </c>
      <c r="K42" s="26">
        <f>H42*Subsector!$S$13</f>
        <v>0</v>
      </c>
      <c r="L42" s="26">
        <f>H42*Subsector!$S$15</f>
        <v>0</v>
      </c>
      <c r="M42" s="26">
        <f>H42*Subsector!$S$16</f>
        <v>0</v>
      </c>
      <c r="N42" s="66">
        <f>H42*Subsector!$S$17</f>
        <v>0</v>
      </c>
      <c r="O42" s="41">
        <f t="shared" si="20"/>
        <v>0</v>
      </c>
      <c r="P42" s="26">
        <f t="shared" si="20"/>
        <v>0</v>
      </c>
      <c r="Q42" s="26">
        <f t="shared" si="21"/>
        <v>0</v>
      </c>
      <c r="R42" s="26">
        <f t="shared" si="22"/>
        <v>0</v>
      </c>
      <c r="S42" s="26">
        <f t="shared" si="23"/>
        <v>0</v>
      </c>
      <c r="T42" s="26">
        <f t="shared" si="23"/>
        <v>0</v>
      </c>
      <c r="U42" s="42">
        <f t="shared" si="24"/>
        <v>0</v>
      </c>
    </row>
    <row r="43" spans="1:21" ht="19.95" hidden="1" customHeight="1" x14ac:dyDescent="0.3">
      <c r="A43" s="55"/>
      <c r="B43" s="24"/>
      <c r="C43" s="24">
        <v>64056</v>
      </c>
      <c r="D43" s="25" t="s">
        <v>75</v>
      </c>
      <c r="E43" s="43"/>
      <c r="F43" s="27"/>
      <c r="G43" s="27"/>
      <c r="H43" s="44"/>
      <c r="I43" s="49">
        <f>H43*Subsector!$S$11</f>
        <v>0</v>
      </c>
      <c r="J43" s="26">
        <f>H43*Subsector!$S$12</f>
        <v>0</v>
      </c>
      <c r="K43" s="26">
        <f>H43*Subsector!$S$13</f>
        <v>0</v>
      </c>
      <c r="L43" s="26">
        <f>H43*Subsector!$S$15</f>
        <v>0</v>
      </c>
      <c r="M43" s="26">
        <f>H43*Subsector!$S$16</f>
        <v>0</v>
      </c>
      <c r="N43" s="66">
        <f>H43*Subsector!$S$17</f>
        <v>0</v>
      </c>
      <c r="O43" s="41">
        <f t="shared" si="20"/>
        <v>0</v>
      </c>
      <c r="P43" s="26">
        <f t="shared" si="20"/>
        <v>0</v>
      </c>
      <c r="Q43" s="26">
        <f t="shared" si="21"/>
        <v>0</v>
      </c>
      <c r="R43" s="26">
        <f t="shared" si="22"/>
        <v>0</v>
      </c>
      <c r="S43" s="26">
        <f t="shared" si="23"/>
        <v>0</v>
      </c>
      <c r="T43" s="26">
        <f t="shared" si="23"/>
        <v>0</v>
      </c>
      <c r="U43" s="42">
        <f t="shared" si="24"/>
        <v>0</v>
      </c>
    </row>
    <row r="44" spans="1:21" ht="19.95" hidden="1" customHeight="1" x14ac:dyDescent="0.3">
      <c r="A44" s="55"/>
      <c r="B44" s="24"/>
      <c r="C44" s="24">
        <v>64058</v>
      </c>
      <c r="D44" s="25" t="s">
        <v>76</v>
      </c>
      <c r="E44" s="43"/>
      <c r="F44" s="27"/>
      <c r="G44" s="27"/>
      <c r="H44" s="44"/>
      <c r="I44" s="49">
        <f>H44*Subsector!$S$11</f>
        <v>0</v>
      </c>
      <c r="J44" s="26">
        <f>H44*Subsector!$S$12</f>
        <v>0</v>
      </c>
      <c r="K44" s="26">
        <f>H44*Subsector!$S$13</f>
        <v>0</v>
      </c>
      <c r="L44" s="26">
        <f>H44*Subsector!$S$15</f>
        <v>0</v>
      </c>
      <c r="M44" s="26">
        <f>H44*Subsector!$S$16</f>
        <v>0</v>
      </c>
      <c r="N44" s="66">
        <f>H44*Subsector!$S$17</f>
        <v>0</v>
      </c>
      <c r="O44" s="41">
        <f t="shared" si="20"/>
        <v>0</v>
      </c>
      <c r="P44" s="26">
        <f t="shared" si="20"/>
        <v>0</v>
      </c>
      <c r="Q44" s="26">
        <f t="shared" si="21"/>
        <v>0</v>
      </c>
      <c r="R44" s="26">
        <f t="shared" si="22"/>
        <v>0</v>
      </c>
      <c r="S44" s="26">
        <f t="shared" si="23"/>
        <v>0</v>
      </c>
      <c r="T44" s="26">
        <f t="shared" si="23"/>
        <v>0</v>
      </c>
      <c r="U44" s="42">
        <f t="shared" si="24"/>
        <v>0</v>
      </c>
    </row>
    <row r="45" spans="1:21" ht="19.95" customHeight="1" x14ac:dyDescent="0.3">
      <c r="A45" s="54"/>
      <c r="B45" s="28">
        <v>6406</v>
      </c>
      <c r="C45" s="23"/>
      <c r="D45" s="21" t="s">
        <v>77</v>
      </c>
      <c r="E45" s="39">
        <f>SUM(E46:E49)</f>
        <v>0</v>
      </c>
      <c r="F45" s="22">
        <f t="shared" ref="F45:U45" si="25">SUM(F46:F49)</f>
        <v>22.2</v>
      </c>
      <c r="G45" s="22">
        <f t="shared" si="25"/>
        <v>0</v>
      </c>
      <c r="H45" s="40">
        <f t="shared" si="25"/>
        <v>2.2000000000000002</v>
      </c>
      <c r="I45" s="36">
        <f t="shared" si="25"/>
        <v>7.7993659856786714E-3</v>
      </c>
      <c r="J45" s="22">
        <f t="shared" si="25"/>
        <v>1.3241959557492389</v>
      </c>
      <c r="K45" s="22">
        <f t="shared" si="25"/>
        <v>0.82990755477295053</v>
      </c>
      <c r="L45" s="22">
        <f t="shared" si="25"/>
        <v>2.7621560654644533E-2</v>
      </c>
      <c r="M45" s="22">
        <f t="shared" si="25"/>
        <v>0</v>
      </c>
      <c r="N45" s="65">
        <f t="shared" si="25"/>
        <v>1.0475562837487592E-2</v>
      </c>
      <c r="O45" s="39">
        <f t="shared" si="25"/>
        <v>0.2</v>
      </c>
      <c r="P45" s="22">
        <f t="shared" si="25"/>
        <v>23.6</v>
      </c>
      <c r="Q45" s="22">
        <f t="shared" si="25"/>
        <v>1</v>
      </c>
      <c r="R45" s="22">
        <f t="shared" si="25"/>
        <v>0.2</v>
      </c>
      <c r="S45" s="22">
        <f t="shared" si="25"/>
        <v>0</v>
      </c>
      <c r="T45" s="22">
        <f t="shared" si="25"/>
        <v>0.2</v>
      </c>
      <c r="U45" s="40">
        <f t="shared" si="25"/>
        <v>25.200000000000006</v>
      </c>
    </row>
    <row r="46" spans="1:21" ht="19.95" customHeight="1" x14ac:dyDescent="0.3">
      <c r="A46" s="55"/>
      <c r="B46" s="28"/>
      <c r="C46" s="24">
        <v>64061</v>
      </c>
      <c r="D46" s="25" t="s">
        <v>78</v>
      </c>
      <c r="E46" s="43"/>
      <c r="F46" s="27">
        <v>16</v>
      </c>
      <c r="G46" s="27">
        <v>0</v>
      </c>
      <c r="H46" s="44">
        <v>1.1000000000000001</v>
      </c>
      <c r="I46" s="49">
        <f>H46*Subsector!$S$11</f>
        <v>3.8996829928393357E-3</v>
      </c>
      <c r="J46" s="26">
        <f>H46*Subsector!$S$12</f>
        <v>0.66209797787461944</v>
      </c>
      <c r="K46" s="26">
        <f>H46*Subsector!$S$13</f>
        <v>0.41495377738647526</v>
      </c>
      <c r="L46" s="26">
        <f>H46*Subsector!$S$15</f>
        <v>1.3810780327322266E-2</v>
      </c>
      <c r="M46" s="26">
        <f>H46*Subsector!$S$16</f>
        <v>0</v>
      </c>
      <c r="N46" s="66">
        <f>H46*Subsector!$S$17</f>
        <v>5.2377814187437961E-3</v>
      </c>
      <c r="O46" s="41">
        <f t="shared" ref="O46:P49" si="26">ROUNDUP(SUM(E46,I46),1)</f>
        <v>0.1</v>
      </c>
      <c r="P46" s="26">
        <f t="shared" si="26"/>
        <v>16.700000000000003</v>
      </c>
      <c r="Q46" s="26">
        <f>ROUNDUP(SUM(K46),1)</f>
        <v>0.5</v>
      </c>
      <c r="R46" s="26">
        <f>ROUNDUP(SUM(G46,L46),1)</f>
        <v>0.1</v>
      </c>
      <c r="S46" s="26">
        <f t="shared" ref="S46:T49" si="27">ROUNDUP(SUM(M46),1)</f>
        <v>0</v>
      </c>
      <c r="T46" s="26">
        <f t="shared" si="27"/>
        <v>0.1</v>
      </c>
      <c r="U46" s="42">
        <f>SUM(O46:T46)</f>
        <v>17.500000000000007</v>
      </c>
    </row>
    <row r="47" spans="1:21" ht="19.95" customHeight="1" x14ac:dyDescent="0.3">
      <c r="A47" s="55"/>
      <c r="B47" s="28"/>
      <c r="C47" s="24">
        <v>64063</v>
      </c>
      <c r="D47" s="25" t="s">
        <v>79</v>
      </c>
      <c r="E47" s="43"/>
      <c r="F47" s="27">
        <v>6.1999999999999993</v>
      </c>
      <c r="G47" s="27">
        <v>0</v>
      </c>
      <c r="H47" s="44">
        <v>1.1000000000000001</v>
      </c>
      <c r="I47" s="49">
        <f>H47*Subsector!$S$11</f>
        <v>3.8996829928393357E-3</v>
      </c>
      <c r="J47" s="26">
        <f>H47*Subsector!$S$12</f>
        <v>0.66209797787461944</v>
      </c>
      <c r="K47" s="26">
        <f>H47*Subsector!$S$13</f>
        <v>0.41495377738647526</v>
      </c>
      <c r="L47" s="26">
        <f>H47*Subsector!$S$15</f>
        <v>1.3810780327322266E-2</v>
      </c>
      <c r="M47" s="26">
        <f>H47*Subsector!$S$16</f>
        <v>0</v>
      </c>
      <c r="N47" s="66">
        <f>H47*Subsector!$S$17</f>
        <v>5.2377814187437961E-3</v>
      </c>
      <c r="O47" s="41">
        <f t="shared" si="26"/>
        <v>0.1</v>
      </c>
      <c r="P47" s="26">
        <f t="shared" si="26"/>
        <v>6.8999999999999995</v>
      </c>
      <c r="Q47" s="26">
        <f>ROUNDUP(SUM(K47),1)</f>
        <v>0.5</v>
      </c>
      <c r="R47" s="26">
        <f>ROUNDUP(SUM(G47,L47),1)</f>
        <v>0.1</v>
      </c>
      <c r="S47" s="26">
        <f t="shared" si="27"/>
        <v>0</v>
      </c>
      <c r="T47" s="26">
        <f t="shared" si="27"/>
        <v>0.1</v>
      </c>
      <c r="U47" s="42">
        <f>SUM(O47:T47)</f>
        <v>7.6999999999999984</v>
      </c>
    </row>
    <row r="48" spans="1:21" ht="19.95" hidden="1" customHeight="1" x14ac:dyDescent="0.3">
      <c r="A48" s="55"/>
      <c r="B48" s="24"/>
      <c r="C48" s="24">
        <v>64064</v>
      </c>
      <c r="D48" s="25" t="s">
        <v>80</v>
      </c>
      <c r="E48" s="43"/>
      <c r="F48" s="27"/>
      <c r="G48" s="27"/>
      <c r="H48" s="44"/>
      <c r="I48" s="49">
        <f>H48*Subsector!$S$11</f>
        <v>0</v>
      </c>
      <c r="J48" s="26">
        <f>H48*Subsector!$S$12</f>
        <v>0</v>
      </c>
      <c r="K48" s="26">
        <f>H48*Subsector!$S$13</f>
        <v>0</v>
      </c>
      <c r="L48" s="26">
        <f>H48*Subsector!$S$15</f>
        <v>0</v>
      </c>
      <c r="M48" s="26">
        <f>H48*Subsector!$S$16</f>
        <v>0</v>
      </c>
      <c r="N48" s="66">
        <f>H48*Subsector!$S$17</f>
        <v>0</v>
      </c>
      <c r="O48" s="41">
        <f t="shared" si="26"/>
        <v>0</v>
      </c>
      <c r="P48" s="26">
        <f t="shared" si="26"/>
        <v>0</v>
      </c>
      <c r="Q48" s="26">
        <f>ROUNDUP(SUM(K48),1)</f>
        <v>0</v>
      </c>
      <c r="R48" s="26">
        <f>ROUNDUP(SUM(G48,L48),1)</f>
        <v>0</v>
      </c>
      <c r="S48" s="26">
        <f t="shared" si="27"/>
        <v>0</v>
      </c>
      <c r="T48" s="26">
        <f t="shared" si="27"/>
        <v>0</v>
      </c>
      <c r="U48" s="42">
        <f>SUM(O48:T48)</f>
        <v>0</v>
      </c>
    </row>
    <row r="49" spans="1:21" ht="19.95" hidden="1" customHeight="1" x14ac:dyDescent="0.3">
      <c r="A49" s="55"/>
      <c r="B49" s="24"/>
      <c r="C49" s="24">
        <v>64068</v>
      </c>
      <c r="D49" s="25" t="s">
        <v>81</v>
      </c>
      <c r="E49" s="43"/>
      <c r="F49" s="27"/>
      <c r="G49" s="27"/>
      <c r="H49" s="44"/>
      <c r="I49" s="49">
        <f>H49*Subsector!$S$11</f>
        <v>0</v>
      </c>
      <c r="J49" s="26">
        <f>H49*Subsector!$S$12</f>
        <v>0</v>
      </c>
      <c r="K49" s="26">
        <f>H49*Subsector!$S$13</f>
        <v>0</v>
      </c>
      <c r="L49" s="26">
        <f>H49*Subsector!$S$15</f>
        <v>0</v>
      </c>
      <c r="M49" s="26">
        <f>H49*Subsector!$S$16</f>
        <v>0</v>
      </c>
      <c r="N49" s="66">
        <f>H49*Subsector!$S$17</f>
        <v>0</v>
      </c>
      <c r="O49" s="41">
        <f t="shared" si="26"/>
        <v>0</v>
      </c>
      <c r="P49" s="26">
        <f t="shared" si="26"/>
        <v>0</v>
      </c>
      <c r="Q49" s="26">
        <f>ROUNDUP(SUM(K49),1)</f>
        <v>0</v>
      </c>
      <c r="R49" s="26">
        <f>ROUNDUP(SUM(G49,L49),1)</f>
        <v>0</v>
      </c>
      <c r="S49" s="26">
        <f t="shared" si="27"/>
        <v>0</v>
      </c>
      <c r="T49" s="26">
        <f t="shared" si="27"/>
        <v>0</v>
      </c>
      <c r="U49" s="42">
        <f>SUM(O49:T49)</f>
        <v>0</v>
      </c>
    </row>
    <row r="50" spans="1:21" ht="19.95" hidden="1" customHeight="1" x14ac:dyDescent="0.3">
      <c r="A50" s="51"/>
      <c r="B50" s="28">
        <v>6407</v>
      </c>
      <c r="C50" s="28"/>
      <c r="D50" s="29" t="s">
        <v>82</v>
      </c>
      <c r="E50" s="39">
        <f>SUM(E51:E58)</f>
        <v>0</v>
      </c>
      <c r="F50" s="22">
        <f t="shared" ref="F50:U50" si="28">SUM(F51:F58)</f>
        <v>0</v>
      </c>
      <c r="G50" s="22">
        <f t="shared" si="28"/>
        <v>0</v>
      </c>
      <c r="H50" s="40">
        <f t="shared" si="28"/>
        <v>0</v>
      </c>
      <c r="I50" s="36">
        <f t="shared" si="28"/>
        <v>0</v>
      </c>
      <c r="J50" s="22">
        <f t="shared" si="28"/>
        <v>0</v>
      </c>
      <c r="K50" s="22">
        <f t="shared" si="28"/>
        <v>0</v>
      </c>
      <c r="L50" s="22">
        <f t="shared" si="28"/>
        <v>0</v>
      </c>
      <c r="M50" s="22">
        <f t="shared" si="28"/>
        <v>0</v>
      </c>
      <c r="N50" s="65">
        <f t="shared" si="28"/>
        <v>0</v>
      </c>
      <c r="O50" s="39">
        <f t="shared" si="28"/>
        <v>0</v>
      </c>
      <c r="P50" s="22">
        <f t="shared" si="28"/>
        <v>0</v>
      </c>
      <c r="Q50" s="22">
        <f t="shared" si="28"/>
        <v>0</v>
      </c>
      <c r="R50" s="22">
        <f t="shared" si="28"/>
        <v>0</v>
      </c>
      <c r="S50" s="22">
        <f t="shared" si="28"/>
        <v>0</v>
      </c>
      <c r="T50" s="22">
        <f t="shared" si="28"/>
        <v>0</v>
      </c>
      <c r="U50" s="40">
        <f t="shared" si="28"/>
        <v>0</v>
      </c>
    </row>
    <row r="51" spans="1:21" ht="19.95" hidden="1" customHeight="1" x14ac:dyDescent="0.3">
      <c r="A51" s="52"/>
      <c r="B51" s="28"/>
      <c r="C51" s="30">
        <v>64071</v>
      </c>
      <c r="D51" s="31" t="s">
        <v>83</v>
      </c>
      <c r="E51" s="43"/>
      <c r="F51" s="27"/>
      <c r="G51" s="27"/>
      <c r="H51" s="44"/>
      <c r="I51" s="49">
        <f>H51*Subsector!$S$11</f>
        <v>0</v>
      </c>
      <c r="J51" s="26">
        <f>H51*Subsector!$S$12</f>
        <v>0</v>
      </c>
      <c r="K51" s="26">
        <f>H51*Subsector!$S$13</f>
        <v>0</v>
      </c>
      <c r="L51" s="26">
        <f>H51*Subsector!$S$15</f>
        <v>0</v>
      </c>
      <c r="M51" s="26">
        <f>H51*Subsector!$S$16</f>
        <v>0</v>
      </c>
      <c r="N51" s="66">
        <f>H51*Subsector!$S$17</f>
        <v>0</v>
      </c>
      <c r="O51" s="41">
        <f t="shared" ref="O51:P58" si="29">ROUNDUP(SUM(E51,I51),1)</f>
        <v>0</v>
      </c>
      <c r="P51" s="26">
        <f t="shared" si="29"/>
        <v>0</v>
      </c>
      <c r="Q51" s="26">
        <f t="shared" ref="Q51:Q58" si="30">ROUNDUP(SUM(K51),1)</f>
        <v>0</v>
      </c>
      <c r="R51" s="26">
        <f t="shared" ref="R51:R58" si="31">ROUNDUP(SUM(G51,L51),1)</f>
        <v>0</v>
      </c>
      <c r="S51" s="26">
        <f t="shared" ref="S51:T58" si="32">ROUNDUP(SUM(M51),1)</f>
        <v>0</v>
      </c>
      <c r="T51" s="26">
        <f t="shared" si="32"/>
        <v>0</v>
      </c>
      <c r="U51" s="42">
        <f t="shared" ref="U51:U58" si="33">SUM(O51:T51)</f>
        <v>0</v>
      </c>
    </row>
    <row r="52" spans="1:21" ht="19.95" hidden="1" customHeight="1" x14ac:dyDescent="0.3">
      <c r="A52" s="52"/>
      <c r="B52" s="28"/>
      <c r="C52" s="30">
        <v>64072</v>
      </c>
      <c r="D52" s="31" t="s">
        <v>84</v>
      </c>
      <c r="E52" s="43"/>
      <c r="F52" s="27"/>
      <c r="G52" s="27"/>
      <c r="H52" s="44"/>
      <c r="I52" s="49">
        <f>H52*Subsector!$S$11</f>
        <v>0</v>
      </c>
      <c r="J52" s="26">
        <f>H52*Subsector!$S$12</f>
        <v>0</v>
      </c>
      <c r="K52" s="26">
        <f>H52*Subsector!$S$13</f>
        <v>0</v>
      </c>
      <c r="L52" s="26">
        <f>H52*Subsector!$S$15</f>
        <v>0</v>
      </c>
      <c r="M52" s="26">
        <f>H52*Subsector!$S$16</f>
        <v>0</v>
      </c>
      <c r="N52" s="66">
        <f>H52*Subsector!$S$17</f>
        <v>0</v>
      </c>
      <c r="O52" s="41">
        <f t="shared" si="29"/>
        <v>0</v>
      </c>
      <c r="P52" s="26">
        <f t="shared" si="29"/>
        <v>0</v>
      </c>
      <c r="Q52" s="26">
        <f t="shared" si="30"/>
        <v>0</v>
      </c>
      <c r="R52" s="26">
        <f t="shared" si="31"/>
        <v>0</v>
      </c>
      <c r="S52" s="26">
        <f t="shared" si="32"/>
        <v>0</v>
      </c>
      <c r="T52" s="26">
        <f t="shared" si="32"/>
        <v>0</v>
      </c>
      <c r="U52" s="42">
        <f t="shared" si="33"/>
        <v>0</v>
      </c>
    </row>
    <row r="53" spans="1:21" ht="19.95" hidden="1" customHeight="1" x14ac:dyDescent="0.3">
      <c r="A53" s="52"/>
      <c r="B53" s="28"/>
      <c r="C53" s="30">
        <v>64073</v>
      </c>
      <c r="D53" s="31" t="s">
        <v>85</v>
      </c>
      <c r="E53" s="43"/>
      <c r="F53" s="27"/>
      <c r="G53" s="27"/>
      <c r="H53" s="44"/>
      <c r="I53" s="49">
        <f>H53*Subsector!$S$11</f>
        <v>0</v>
      </c>
      <c r="J53" s="26">
        <f>H53*Subsector!$S$12</f>
        <v>0</v>
      </c>
      <c r="K53" s="26">
        <f>H53*Subsector!$S$13</f>
        <v>0</v>
      </c>
      <c r="L53" s="26">
        <f>H53*Subsector!$S$15</f>
        <v>0</v>
      </c>
      <c r="M53" s="26">
        <f>H53*Subsector!$S$16</f>
        <v>0</v>
      </c>
      <c r="N53" s="66">
        <f>H53*Subsector!$S$17</f>
        <v>0</v>
      </c>
      <c r="O53" s="41">
        <f t="shared" si="29"/>
        <v>0</v>
      </c>
      <c r="P53" s="26">
        <f t="shared" si="29"/>
        <v>0</v>
      </c>
      <c r="Q53" s="26">
        <f t="shared" si="30"/>
        <v>0</v>
      </c>
      <c r="R53" s="26">
        <f t="shared" si="31"/>
        <v>0</v>
      </c>
      <c r="S53" s="26">
        <f t="shared" si="32"/>
        <v>0</v>
      </c>
      <c r="T53" s="26">
        <f t="shared" si="32"/>
        <v>0</v>
      </c>
      <c r="U53" s="42">
        <f t="shared" si="33"/>
        <v>0</v>
      </c>
    </row>
    <row r="54" spans="1:21" ht="19.95" hidden="1" customHeight="1" x14ac:dyDescent="0.3">
      <c r="A54" s="52"/>
      <c r="B54" s="24"/>
      <c r="C54" s="30">
        <v>64074</v>
      </c>
      <c r="D54" s="25" t="s">
        <v>86</v>
      </c>
      <c r="E54" s="43"/>
      <c r="F54" s="27"/>
      <c r="G54" s="27"/>
      <c r="H54" s="44"/>
      <c r="I54" s="49">
        <f>H54*Subsector!$S$11</f>
        <v>0</v>
      </c>
      <c r="J54" s="26">
        <f>H54*Subsector!$S$12</f>
        <v>0</v>
      </c>
      <c r="K54" s="26">
        <f>H54*Subsector!$S$13</f>
        <v>0</v>
      </c>
      <c r="L54" s="26">
        <f>H54*Subsector!$S$15</f>
        <v>0</v>
      </c>
      <c r="M54" s="26">
        <f>H54*Subsector!$S$16</f>
        <v>0</v>
      </c>
      <c r="N54" s="66">
        <f>H54*Subsector!$S$17</f>
        <v>0</v>
      </c>
      <c r="O54" s="41">
        <f t="shared" si="29"/>
        <v>0</v>
      </c>
      <c r="P54" s="26">
        <f t="shared" si="29"/>
        <v>0</v>
      </c>
      <c r="Q54" s="26">
        <f t="shared" si="30"/>
        <v>0</v>
      </c>
      <c r="R54" s="26">
        <f t="shared" si="31"/>
        <v>0</v>
      </c>
      <c r="S54" s="26">
        <f t="shared" si="32"/>
        <v>0</v>
      </c>
      <c r="T54" s="26">
        <f t="shared" si="32"/>
        <v>0</v>
      </c>
      <c r="U54" s="42">
        <f t="shared" si="33"/>
        <v>0</v>
      </c>
    </row>
    <row r="55" spans="1:21" ht="19.95" hidden="1" customHeight="1" x14ac:dyDescent="0.3">
      <c r="A55" s="52"/>
      <c r="B55" s="28"/>
      <c r="C55" s="30">
        <v>64075</v>
      </c>
      <c r="D55" s="31" t="s">
        <v>48</v>
      </c>
      <c r="E55" s="43"/>
      <c r="F55" s="27"/>
      <c r="G55" s="27"/>
      <c r="H55" s="44"/>
      <c r="I55" s="49">
        <f>H55*Subsector!$S$11</f>
        <v>0</v>
      </c>
      <c r="J55" s="26">
        <f>H55*Subsector!$S$12</f>
        <v>0</v>
      </c>
      <c r="K55" s="26">
        <f>H55*Subsector!$S$13</f>
        <v>0</v>
      </c>
      <c r="L55" s="26">
        <f>H55*Subsector!$S$15</f>
        <v>0</v>
      </c>
      <c r="M55" s="26">
        <f>H55*Subsector!$S$16</f>
        <v>0</v>
      </c>
      <c r="N55" s="66">
        <f>H55*Subsector!$S$17</f>
        <v>0</v>
      </c>
      <c r="O55" s="41">
        <f t="shared" si="29"/>
        <v>0</v>
      </c>
      <c r="P55" s="26">
        <f t="shared" si="29"/>
        <v>0</v>
      </c>
      <c r="Q55" s="26">
        <f t="shared" si="30"/>
        <v>0</v>
      </c>
      <c r="R55" s="26">
        <f t="shared" si="31"/>
        <v>0</v>
      </c>
      <c r="S55" s="26">
        <f t="shared" si="32"/>
        <v>0</v>
      </c>
      <c r="T55" s="26">
        <f t="shared" si="32"/>
        <v>0</v>
      </c>
      <c r="U55" s="42">
        <f t="shared" si="33"/>
        <v>0</v>
      </c>
    </row>
    <row r="56" spans="1:21" ht="19.95" hidden="1" customHeight="1" x14ac:dyDescent="0.3">
      <c r="A56" s="52"/>
      <c r="B56" s="28"/>
      <c r="C56" s="30">
        <v>64076</v>
      </c>
      <c r="D56" s="31" t="s">
        <v>49</v>
      </c>
      <c r="E56" s="43"/>
      <c r="F56" s="27"/>
      <c r="G56" s="27"/>
      <c r="H56" s="44"/>
      <c r="I56" s="49">
        <f>H56*Subsector!$S$11</f>
        <v>0</v>
      </c>
      <c r="J56" s="26">
        <f>H56*Subsector!$S$12</f>
        <v>0</v>
      </c>
      <c r="K56" s="26">
        <f>H56*Subsector!$S$13</f>
        <v>0</v>
      </c>
      <c r="L56" s="26">
        <f>H56*Subsector!$S$15</f>
        <v>0</v>
      </c>
      <c r="M56" s="26">
        <f>H56*Subsector!$S$16</f>
        <v>0</v>
      </c>
      <c r="N56" s="66">
        <f>H56*Subsector!$S$17</f>
        <v>0</v>
      </c>
      <c r="O56" s="41">
        <f t="shared" si="29"/>
        <v>0</v>
      </c>
      <c r="P56" s="26">
        <f t="shared" si="29"/>
        <v>0</v>
      </c>
      <c r="Q56" s="26">
        <f t="shared" si="30"/>
        <v>0</v>
      </c>
      <c r="R56" s="26">
        <f t="shared" si="31"/>
        <v>0</v>
      </c>
      <c r="S56" s="26">
        <f t="shared" si="32"/>
        <v>0</v>
      </c>
      <c r="T56" s="26">
        <f t="shared" si="32"/>
        <v>0</v>
      </c>
      <c r="U56" s="42">
        <f t="shared" si="33"/>
        <v>0</v>
      </c>
    </row>
    <row r="57" spans="1:21" ht="19.95" hidden="1" customHeight="1" x14ac:dyDescent="0.3">
      <c r="A57" s="52"/>
      <c r="B57" s="28"/>
      <c r="C57" s="30">
        <v>64077</v>
      </c>
      <c r="D57" s="31" t="s">
        <v>50</v>
      </c>
      <c r="E57" s="43"/>
      <c r="F57" s="27"/>
      <c r="G57" s="27"/>
      <c r="H57" s="44"/>
      <c r="I57" s="49">
        <f>H57*Subsector!$S$11</f>
        <v>0</v>
      </c>
      <c r="J57" s="26">
        <f>H57*Subsector!$S$12</f>
        <v>0</v>
      </c>
      <c r="K57" s="26">
        <f>H57*Subsector!$S$13</f>
        <v>0</v>
      </c>
      <c r="L57" s="26">
        <f>H57*Subsector!$S$15</f>
        <v>0</v>
      </c>
      <c r="M57" s="26">
        <f>H57*Subsector!$S$16</f>
        <v>0</v>
      </c>
      <c r="N57" s="66">
        <f>H57*Subsector!$S$17</f>
        <v>0</v>
      </c>
      <c r="O57" s="41">
        <f t="shared" si="29"/>
        <v>0</v>
      </c>
      <c r="P57" s="26">
        <f t="shared" si="29"/>
        <v>0</v>
      </c>
      <c r="Q57" s="26">
        <f t="shared" si="30"/>
        <v>0</v>
      </c>
      <c r="R57" s="26">
        <f t="shared" si="31"/>
        <v>0</v>
      </c>
      <c r="S57" s="26">
        <f t="shared" si="32"/>
        <v>0</v>
      </c>
      <c r="T57" s="26">
        <f t="shared" si="32"/>
        <v>0</v>
      </c>
      <c r="U57" s="42">
        <f t="shared" si="33"/>
        <v>0</v>
      </c>
    </row>
    <row r="58" spans="1:21" ht="19.95" hidden="1" customHeight="1" x14ac:dyDescent="0.3">
      <c r="A58" s="52"/>
      <c r="B58" s="28"/>
      <c r="C58" s="30">
        <v>64078</v>
      </c>
      <c r="D58" s="31" t="s">
        <v>87</v>
      </c>
      <c r="E58" s="43"/>
      <c r="F58" s="27"/>
      <c r="G58" s="27"/>
      <c r="H58" s="44"/>
      <c r="I58" s="49">
        <f>H58*Subsector!$S$11</f>
        <v>0</v>
      </c>
      <c r="J58" s="26">
        <f>H58*Subsector!$S$12</f>
        <v>0</v>
      </c>
      <c r="K58" s="26">
        <f>H58*Subsector!$S$13</f>
        <v>0</v>
      </c>
      <c r="L58" s="26">
        <f>H58*Subsector!$S$15</f>
        <v>0</v>
      </c>
      <c r="M58" s="26">
        <f>H58*Subsector!$S$16</f>
        <v>0</v>
      </c>
      <c r="N58" s="66">
        <f>H58*Subsector!$S$17</f>
        <v>0</v>
      </c>
      <c r="O58" s="41">
        <f t="shared" si="29"/>
        <v>0</v>
      </c>
      <c r="P58" s="26">
        <f t="shared" si="29"/>
        <v>0</v>
      </c>
      <c r="Q58" s="26">
        <f t="shared" si="30"/>
        <v>0</v>
      </c>
      <c r="R58" s="26">
        <f t="shared" si="31"/>
        <v>0</v>
      </c>
      <c r="S58" s="26">
        <f t="shared" si="32"/>
        <v>0</v>
      </c>
      <c r="T58" s="26">
        <f t="shared" si="32"/>
        <v>0</v>
      </c>
      <c r="U58" s="42">
        <f t="shared" si="33"/>
        <v>0</v>
      </c>
    </row>
    <row r="59" spans="1:21" ht="19.95" customHeight="1" x14ac:dyDescent="0.3">
      <c r="A59" s="51"/>
      <c r="B59" s="28">
        <v>6498</v>
      </c>
      <c r="C59" s="28"/>
      <c r="D59" s="29" t="s">
        <v>88</v>
      </c>
      <c r="E59" s="39">
        <f>SUM(E60)</f>
        <v>0</v>
      </c>
      <c r="F59" s="22">
        <f t="shared" ref="F59:U59" si="34">SUM(F60)</f>
        <v>15.4</v>
      </c>
      <c r="G59" s="22">
        <f>SUM(G60)</f>
        <v>0.8</v>
      </c>
      <c r="H59" s="40">
        <f t="shared" si="34"/>
        <v>0.9</v>
      </c>
      <c r="I59" s="36">
        <f t="shared" si="34"/>
        <v>3.1906497214140017E-3</v>
      </c>
      <c r="J59" s="22">
        <f t="shared" si="34"/>
        <v>0.5417165273519613</v>
      </c>
      <c r="K59" s="22">
        <f t="shared" si="34"/>
        <v>0.33950763604347978</v>
      </c>
      <c r="L59" s="22">
        <f t="shared" si="34"/>
        <v>1.1299729358718216E-2</v>
      </c>
      <c r="M59" s="22">
        <f t="shared" si="34"/>
        <v>0</v>
      </c>
      <c r="N59" s="65">
        <f t="shared" si="34"/>
        <v>4.2854575244267419E-3</v>
      </c>
      <c r="O59" s="39">
        <f t="shared" si="34"/>
        <v>0.1</v>
      </c>
      <c r="P59" s="22">
        <f t="shared" si="34"/>
        <v>16</v>
      </c>
      <c r="Q59" s="22">
        <f t="shared" si="34"/>
        <v>0.4</v>
      </c>
      <c r="R59" s="22">
        <f t="shared" si="34"/>
        <v>0.9</v>
      </c>
      <c r="S59" s="22">
        <f t="shared" si="34"/>
        <v>0</v>
      </c>
      <c r="T59" s="22">
        <f t="shared" si="34"/>
        <v>0.1</v>
      </c>
      <c r="U59" s="40">
        <f t="shared" si="34"/>
        <v>17.5</v>
      </c>
    </row>
    <row r="60" spans="1:21" ht="19.95" customHeight="1" thickBot="1" x14ac:dyDescent="0.35">
      <c r="A60" s="56"/>
      <c r="B60" s="57"/>
      <c r="C60" s="58">
        <v>64981</v>
      </c>
      <c r="D60" s="59" t="s">
        <v>88</v>
      </c>
      <c r="E60" s="68"/>
      <c r="F60" s="69">
        <v>15.4</v>
      </c>
      <c r="G60" s="69">
        <v>0.8</v>
      </c>
      <c r="H60" s="70">
        <v>0.9</v>
      </c>
      <c r="I60" s="63">
        <f>H60*Subsector!$S$11</f>
        <v>3.1906497214140017E-3</v>
      </c>
      <c r="J60" s="61">
        <f>H60*Subsector!$S$12</f>
        <v>0.5417165273519613</v>
      </c>
      <c r="K60" s="61">
        <f>H60*Subsector!$S$13</f>
        <v>0.33950763604347978</v>
      </c>
      <c r="L60" s="61">
        <f>H60*Subsector!$S$15</f>
        <v>1.1299729358718216E-2</v>
      </c>
      <c r="M60" s="61">
        <f>H60*Subsector!$S$16</f>
        <v>0</v>
      </c>
      <c r="N60" s="67">
        <f>H60*Subsector!$S$17</f>
        <v>4.2854575244267419E-3</v>
      </c>
      <c r="O60" s="60">
        <f>ROUNDUP(SUM(E60,I60),1)</f>
        <v>0.1</v>
      </c>
      <c r="P60" s="61">
        <f>ROUNDUP(SUM(F60,J60),1)</f>
        <v>16</v>
      </c>
      <c r="Q60" s="61">
        <f>ROUNDUP(SUM(K60),1)</f>
        <v>0.4</v>
      </c>
      <c r="R60" s="61">
        <f>ROUNDUP(SUM(G60,L60),1)</f>
        <v>0.9</v>
      </c>
      <c r="S60" s="61">
        <f>ROUNDUP(SUM(M60),1)</f>
        <v>0</v>
      </c>
      <c r="T60" s="61">
        <f>ROUNDUP(SUM(N60),1)</f>
        <v>0.1</v>
      </c>
      <c r="U60" s="62">
        <f>SUM(O60:T60)</f>
        <v>17.5</v>
      </c>
    </row>
  </sheetData>
  <sheetProtection algorithmName="SHA-512" hashValue="4RTm2M0Wuiv0N2Ts6d0j3+zmfqKbY0v0xvzdLjMD3y/YuOD6H+Jcrkn9qi95iik88mkwRO2thEb/7kv1QIvzOw==" saltValue="y7PmgqfFbvQie2G6BGnNow==" spinCount="100000" sheet="1" formatCells="0" formatColumns="0" formatRows="0" sort="0" autoFilter="0" pivotTables="0"/>
  <mergeCells count="8">
    <mergeCell ref="O5:U6"/>
    <mergeCell ref="A3:U3"/>
    <mergeCell ref="A5:A7"/>
    <mergeCell ref="B5:B7"/>
    <mergeCell ref="C5:C7"/>
    <mergeCell ref="D5:D7"/>
    <mergeCell ref="E5:H5"/>
    <mergeCell ref="I5:N6"/>
  </mergeCells>
  <pageMargins left="0.11811023622047245" right="0.31496062992125984" top="0.74803149606299213" bottom="0.74803149606299213" header="0.31496062992125984" footer="0.31496062992125984"/>
  <pageSetup paperSize="9" scale="85" orientation="landscape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0C190-9389-4BA2-82C6-D75520311020}">
  <sheetPr codeName="Sheet4"/>
  <dimension ref="A1:U60"/>
  <sheetViews>
    <sheetView zoomScaleNormal="100" workbookViewId="0">
      <selection activeCell="J64" sqref="J64"/>
    </sheetView>
  </sheetViews>
  <sheetFormatPr defaultRowHeight="14.4" x14ac:dyDescent="0.3"/>
  <cols>
    <col min="1" max="1" width="6" customWidth="1"/>
    <col min="2" max="2" width="6.5546875" customWidth="1"/>
    <col min="3" max="3" width="9.44140625" customWidth="1"/>
    <col min="4" max="4" width="36.109375" customWidth="1"/>
    <col min="5" max="5" width="4.5546875" customWidth="1"/>
    <col min="6" max="6" width="7.5546875" customWidth="1"/>
    <col min="7" max="7" width="5.6640625" customWidth="1"/>
    <col min="8" max="8" width="8.33203125" customWidth="1"/>
    <col min="9" max="9" width="5.33203125" customWidth="1"/>
    <col min="10" max="10" width="6.33203125" customWidth="1"/>
    <col min="11" max="11" width="7.109375" customWidth="1"/>
    <col min="12" max="12" width="5.33203125" customWidth="1"/>
    <col min="13" max="13" width="4.77734375" customWidth="1"/>
    <col min="14" max="14" width="5.5546875" customWidth="1"/>
    <col min="15" max="15" width="6" customWidth="1"/>
    <col min="16" max="16" width="7.5546875" customWidth="1"/>
    <col min="17" max="17" width="6.5546875" customWidth="1"/>
    <col min="18" max="18" width="5.33203125" customWidth="1"/>
    <col min="19" max="19" width="5" customWidth="1"/>
    <col min="20" max="20" width="7" customWidth="1"/>
    <col min="21" max="21" width="8.77734375" customWidth="1"/>
  </cols>
  <sheetData>
    <row r="1" spans="1:21" ht="21.45" customHeight="1" x14ac:dyDescent="0.3"/>
    <row r="2" spans="1:21" ht="21.45" customHeight="1" x14ac:dyDescent="0.3"/>
    <row r="3" spans="1:21" ht="36.450000000000003" customHeight="1" x14ac:dyDescent="0.3">
      <c r="A3" s="108" t="s">
        <v>105</v>
      </c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</row>
    <row r="4" spans="1:21" ht="21.45" customHeight="1" thickBot="1" x14ac:dyDescent="0.35"/>
    <row r="5" spans="1:21" ht="43.5" customHeight="1" x14ac:dyDescent="0.3">
      <c r="A5" s="123" t="s">
        <v>39</v>
      </c>
      <c r="B5" s="121" t="s">
        <v>40</v>
      </c>
      <c r="C5" s="121" t="s">
        <v>41</v>
      </c>
      <c r="D5" s="119" t="s">
        <v>42</v>
      </c>
      <c r="E5" s="125" t="s">
        <v>99</v>
      </c>
      <c r="F5" s="126"/>
      <c r="G5" s="126"/>
      <c r="H5" s="127"/>
      <c r="I5" s="140" t="s">
        <v>94</v>
      </c>
      <c r="J5" s="141"/>
      <c r="K5" s="141"/>
      <c r="L5" s="141"/>
      <c r="M5" s="141"/>
      <c r="N5" s="142"/>
      <c r="O5" s="134" t="s">
        <v>95</v>
      </c>
      <c r="P5" s="135"/>
      <c r="Q5" s="135"/>
      <c r="R5" s="135"/>
      <c r="S5" s="135"/>
      <c r="T5" s="135"/>
      <c r="U5" s="136"/>
    </row>
    <row r="6" spans="1:21" ht="43.05" customHeight="1" x14ac:dyDescent="0.8">
      <c r="A6" s="124"/>
      <c r="B6" s="122"/>
      <c r="C6" s="122"/>
      <c r="D6" s="120"/>
      <c r="E6" s="45"/>
      <c r="F6" s="46"/>
      <c r="G6" s="46"/>
      <c r="H6" s="47"/>
      <c r="I6" s="143"/>
      <c r="J6" s="144"/>
      <c r="K6" s="144"/>
      <c r="L6" s="144"/>
      <c r="M6" s="144"/>
      <c r="N6" s="145"/>
      <c r="O6" s="137"/>
      <c r="P6" s="138"/>
      <c r="Q6" s="138"/>
      <c r="R6" s="138"/>
      <c r="S6" s="138"/>
      <c r="T6" s="138"/>
      <c r="U6" s="139"/>
    </row>
    <row r="7" spans="1:21" ht="132.44999999999999" customHeight="1" x14ac:dyDescent="0.3">
      <c r="A7" s="124"/>
      <c r="B7" s="122"/>
      <c r="C7" s="122"/>
      <c r="D7" s="120"/>
      <c r="E7" s="146" t="s">
        <v>25</v>
      </c>
      <c r="F7" s="147" t="s">
        <v>26</v>
      </c>
      <c r="G7" s="147" t="s">
        <v>29</v>
      </c>
      <c r="H7" s="148" t="s">
        <v>91</v>
      </c>
      <c r="I7" s="149" t="s">
        <v>25</v>
      </c>
      <c r="J7" s="150" t="s">
        <v>26</v>
      </c>
      <c r="K7" s="150" t="s">
        <v>27</v>
      </c>
      <c r="L7" s="150" t="s">
        <v>29</v>
      </c>
      <c r="M7" s="150" t="s">
        <v>30</v>
      </c>
      <c r="N7" s="151" t="s">
        <v>31</v>
      </c>
      <c r="O7" s="152" t="s">
        <v>25</v>
      </c>
      <c r="P7" s="153" t="s">
        <v>26</v>
      </c>
      <c r="Q7" s="153" t="s">
        <v>27</v>
      </c>
      <c r="R7" s="153" t="s">
        <v>29</v>
      </c>
      <c r="S7" s="153" t="s">
        <v>30</v>
      </c>
      <c r="T7" s="153" t="s">
        <v>31</v>
      </c>
      <c r="U7" s="154" t="s">
        <v>12</v>
      </c>
    </row>
    <row r="8" spans="1:21" ht="19.95" customHeight="1" x14ac:dyDescent="0.3">
      <c r="A8" s="50">
        <v>64</v>
      </c>
      <c r="B8" s="32"/>
      <c r="C8" s="32"/>
      <c r="D8" s="33" t="s">
        <v>43</v>
      </c>
      <c r="E8" s="37">
        <f>SUM(E9,E18,E27,E33,E37,E45,E50,E59)</f>
        <v>0</v>
      </c>
      <c r="F8" s="34">
        <f t="shared" ref="F8:U8" si="0">SUM(F9,F18,F27,F33,F37,F45,F50,F59)</f>
        <v>1707.5000000000002</v>
      </c>
      <c r="G8" s="34">
        <f t="shared" si="0"/>
        <v>72</v>
      </c>
      <c r="H8" s="38">
        <f t="shared" si="0"/>
        <v>160.89999999999995</v>
      </c>
      <c r="I8" s="35">
        <f t="shared" si="0"/>
        <v>0.57041726686168093</v>
      </c>
      <c r="J8" s="34">
        <f t="shared" si="0"/>
        <v>96.846876945478414</v>
      </c>
      <c r="K8" s="34">
        <f t="shared" si="0"/>
        <v>60.696420710439874</v>
      </c>
      <c r="L8" s="34">
        <f t="shared" si="0"/>
        <v>2.0201405042419567</v>
      </c>
      <c r="M8" s="34">
        <f t="shared" si="0"/>
        <v>0</v>
      </c>
      <c r="N8" s="64">
        <f t="shared" si="0"/>
        <v>0.76614457297806982</v>
      </c>
      <c r="O8" s="37">
        <f t="shared" si="0"/>
        <v>1.0000000000000002</v>
      </c>
      <c r="P8" s="34">
        <f t="shared" si="0"/>
        <v>1804.7</v>
      </c>
      <c r="Q8" s="34">
        <f t="shared" si="0"/>
        <v>61.1</v>
      </c>
      <c r="R8" s="34">
        <f t="shared" si="0"/>
        <v>74.5</v>
      </c>
      <c r="S8" s="34">
        <f t="shared" si="0"/>
        <v>0</v>
      </c>
      <c r="T8" s="34">
        <f t="shared" si="0"/>
        <v>1.2000000000000002</v>
      </c>
      <c r="U8" s="38">
        <f t="shared" si="0"/>
        <v>1942.4999999999998</v>
      </c>
    </row>
    <row r="9" spans="1:21" ht="19.95" hidden="1" customHeight="1" x14ac:dyDescent="0.3">
      <c r="A9" s="51"/>
      <c r="B9" s="23">
        <v>6401</v>
      </c>
      <c r="C9" s="23"/>
      <c r="D9" s="21" t="s">
        <v>90</v>
      </c>
      <c r="E9" s="39">
        <f>SUM(E10:E17)</f>
        <v>0</v>
      </c>
      <c r="F9" s="22">
        <f>SUM(F10:F17)</f>
        <v>0</v>
      </c>
      <c r="G9" s="22">
        <f t="shared" ref="G9:U9" si="1">SUM(G10:G17)</f>
        <v>0</v>
      </c>
      <c r="H9" s="40">
        <f t="shared" si="1"/>
        <v>0</v>
      </c>
      <c r="I9" s="36">
        <f t="shared" si="1"/>
        <v>0</v>
      </c>
      <c r="J9" s="22">
        <f t="shared" si="1"/>
        <v>0</v>
      </c>
      <c r="K9" s="22">
        <f t="shared" si="1"/>
        <v>0</v>
      </c>
      <c r="L9" s="22">
        <f t="shared" si="1"/>
        <v>0</v>
      </c>
      <c r="M9" s="22">
        <f t="shared" si="1"/>
        <v>0</v>
      </c>
      <c r="N9" s="65">
        <f t="shared" si="1"/>
        <v>0</v>
      </c>
      <c r="O9" s="39">
        <f>SUM(O10:O17)</f>
        <v>0</v>
      </c>
      <c r="P9" s="22">
        <f t="shared" si="1"/>
        <v>0</v>
      </c>
      <c r="Q9" s="22">
        <f t="shared" si="1"/>
        <v>0</v>
      </c>
      <c r="R9" s="22">
        <f t="shared" si="1"/>
        <v>0</v>
      </c>
      <c r="S9" s="22">
        <f t="shared" si="1"/>
        <v>0</v>
      </c>
      <c r="T9" s="22">
        <f t="shared" si="1"/>
        <v>0</v>
      </c>
      <c r="U9" s="40">
        <f t="shared" si="1"/>
        <v>0</v>
      </c>
    </row>
    <row r="10" spans="1:21" ht="19.95" hidden="1" customHeight="1" x14ac:dyDescent="0.3">
      <c r="A10" s="52"/>
      <c r="B10" s="24"/>
      <c r="C10" s="24">
        <v>64011</v>
      </c>
      <c r="D10" s="25" t="s">
        <v>44</v>
      </c>
      <c r="E10" s="43"/>
      <c r="F10" s="27"/>
      <c r="G10" s="27"/>
      <c r="H10" s="44"/>
      <c r="I10" s="49">
        <f>H10*Subsector!$S$11</f>
        <v>0</v>
      </c>
      <c r="J10" s="26">
        <f>H10*Subsector!$S$12</f>
        <v>0</v>
      </c>
      <c r="K10" s="26">
        <f>H10*Subsector!$S$13</f>
        <v>0</v>
      </c>
      <c r="L10" s="26">
        <f>H10*Subsector!$S$15</f>
        <v>0</v>
      </c>
      <c r="M10" s="26">
        <f>H10*Subsector!$S$16</f>
        <v>0</v>
      </c>
      <c r="N10" s="66">
        <f>H10*Subsector!$S$17</f>
        <v>0</v>
      </c>
      <c r="O10" s="41">
        <f t="shared" ref="O10:P17" si="2">ROUNDUP(SUM(E10,I10),1)</f>
        <v>0</v>
      </c>
      <c r="P10" s="26">
        <f t="shared" si="2"/>
        <v>0</v>
      </c>
      <c r="Q10" s="26">
        <f t="shared" ref="Q10:Q17" si="3">ROUNDUP(SUM(K10),1)</f>
        <v>0</v>
      </c>
      <c r="R10" s="26">
        <f t="shared" ref="R10:R17" si="4">ROUNDUP(SUM(G10,L10),1)</f>
        <v>0</v>
      </c>
      <c r="S10" s="26">
        <f t="shared" ref="S10:T17" si="5">ROUNDUP(SUM(M10),1)</f>
        <v>0</v>
      </c>
      <c r="T10" s="26">
        <f t="shared" si="5"/>
        <v>0</v>
      </c>
      <c r="U10" s="42">
        <f t="shared" ref="U10:U17" si="6">SUM(O10:T10)</f>
        <v>0</v>
      </c>
    </row>
    <row r="11" spans="1:21" ht="19.95" hidden="1" customHeight="1" x14ac:dyDescent="0.3">
      <c r="A11" s="52"/>
      <c r="B11" s="24"/>
      <c r="C11" s="24">
        <v>64012</v>
      </c>
      <c r="D11" s="25" t="s">
        <v>89</v>
      </c>
      <c r="E11" s="43"/>
      <c r="F11" s="27"/>
      <c r="G11" s="27"/>
      <c r="H11" s="44"/>
      <c r="I11" s="49">
        <f>H11*Subsector!$S$11</f>
        <v>0</v>
      </c>
      <c r="J11" s="26">
        <f>H11*Subsector!$S$12</f>
        <v>0</v>
      </c>
      <c r="K11" s="26">
        <f>H11*Subsector!$S$13</f>
        <v>0</v>
      </c>
      <c r="L11" s="26">
        <f>H11*Subsector!$S$15</f>
        <v>0</v>
      </c>
      <c r="M11" s="26">
        <f>H11*Subsector!$S$16</f>
        <v>0</v>
      </c>
      <c r="N11" s="66">
        <f>H11*Subsector!$S$17</f>
        <v>0</v>
      </c>
      <c r="O11" s="41">
        <f t="shared" si="2"/>
        <v>0</v>
      </c>
      <c r="P11" s="26">
        <f t="shared" si="2"/>
        <v>0</v>
      </c>
      <c r="Q11" s="26">
        <f t="shared" si="3"/>
        <v>0</v>
      </c>
      <c r="R11" s="26">
        <f t="shared" si="4"/>
        <v>0</v>
      </c>
      <c r="S11" s="26">
        <f t="shared" si="5"/>
        <v>0</v>
      </c>
      <c r="T11" s="26">
        <f t="shared" si="5"/>
        <v>0</v>
      </c>
      <c r="U11" s="42">
        <f t="shared" si="6"/>
        <v>0</v>
      </c>
    </row>
    <row r="12" spans="1:21" ht="19.95" hidden="1" customHeight="1" x14ac:dyDescent="0.3">
      <c r="A12" s="52"/>
      <c r="B12" s="24"/>
      <c r="C12" s="24">
        <v>64013</v>
      </c>
      <c r="D12" s="25" t="s">
        <v>45</v>
      </c>
      <c r="E12" s="43">
        <v>0</v>
      </c>
      <c r="F12" s="27">
        <v>0</v>
      </c>
      <c r="G12" s="27">
        <v>0</v>
      </c>
      <c r="H12" s="44">
        <v>0</v>
      </c>
      <c r="I12" s="49">
        <f>H12*Subsector!$S$11</f>
        <v>0</v>
      </c>
      <c r="J12" s="26">
        <f>H12*Subsector!$S$12</f>
        <v>0</v>
      </c>
      <c r="K12" s="26">
        <f>H12*Subsector!$S$13</f>
        <v>0</v>
      </c>
      <c r="L12" s="26">
        <f>H12*Subsector!$S$15</f>
        <v>0</v>
      </c>
      <c r="M12" s="26">
        <f>H12*Subsector!$S$16</f>
        <v>0</v>
      </c>
      <c r="N12" s="66">
        <f>H12*Subsector!$S$17</f>
        <v>0</v>
      </c>
      <c r="O12" s="41">
        <f t="shared" si="2"/>
        <v>0</v>
      </c>
      <c r="P12" s="26">
        <f t="shared" si="2"/>
        <v>0</v>
      </c>
      <c r="Q12" s="26">
        <f t="shared" si="3"/>
        <v>0</v>
      </c>
      <c r="R12" s="26">
        <f t="shared" si="4"/>
        <v>0</v>
      </c>
      <c r="S12" s="26">
        <f t="shared" si="5"/>
        <v>0</v>
      </c>
      <c r="T12" s="26">
        <f t="shared" si="5"/>
        <v>0</v>
      </c>
      <c r="U12" s="42">
        <f t="shared" si="6"/>
        <v>0</v>
      </c>
    </row>
    <row r="13" spans="1:21" ht="19.95" hidden="1" customHeight="1" x14ac:dyDescent="0.3">
      <c r="A13" s="52"/>
      <c r="B13" s="24"/>
      <c r="C13" s="24">
        <v>64014</v>
      </c>
      <c r="D13" s="25" t="s">
        <v>46</v>
      </c>
      <c r="E13" s="43">
        <v>0</v>
      </c>
      <c r="F13" s="27">
        <v>0</v>
      </c>
      <c r="G13" s="27">
        <v>0</v>
      </c>
      <c r="H13" s="44">
        <v>0</v>
      </c>
      <c r="I13" s="49">
        <f>H13*Subsector!$S$11</f>
        <v>0</v>
      </c>
      <c r="J13" s="26">
        <f>H13*Subsector!$S$12</f>
        <v>0</v>
      </c>
      <c r="K13" s="26">
        <f>H13*Subsector!$S$13</f>
        <v>0</v>
      </c>
      <c r="L13" s="26">
        <f>H13*Subsector!$S$15</f>
        <v>0</v>
      </c>
      <c r="M13" s="26">
        <f>H13*Subsector!$S$16</f>
        <v>0</v>
      </c>
      <c r="N13" s="66">
        <f>H13*Subsector!$S$17</f>
        <v>0</v>
      </c>
      <c r="O13" s="41">
        <f t="shared" si="2"/>
        <v>0</v>
      </c>
      <c r="P13" s="26">
        <f t="shared" si="2"/>
        <v>0</v>
      </c>
      <c r="Q13" s="26">
        <f t="shared" si="3"/>
        <v>0</v>
      </c>
      <c r="R13" s="26">
        <f t="shared" si="4"/>
        <v>0</v>
      </c>
      <c r="S13" s="26">
        <f t="shared" si="5"/>
        <v>0</v>
      </c>
      <c r="T13" s="26">
        <f t="shared" si="5"/>
        <v>0</v>
      </c>
      <c r="U13" s="42">
        <f t="shared" si="6"/>
        <v>0</v>
      </c>
    </row>
    <row r="14" spans="1:21" ht="19.95" hidden="1" customHeight="1" x14ac:dyDescent="0.3">
      <c r="A14" s="52"/>
      <c r="B14" s="24"/>
      <c r="C14" s="24">
        <v>64015</v>
      </c>
      <c r="D14" s="25" t="s">
        <v>47</v>
      </c>
      <c r="E14" s="43"/>
      <c r="F14" s="27"/>
      <c r="G14" s="27"/>
      <c r="H14" s="44"/>
      <c r="I14" s="49">
        <f>H14*Subsector!$S$11</f>
        <v>0</v>
      </c>
      <c r="J14" s="26">
        <f>H14*Subsector!$S$12</f>
        <v>0</v>
      </c>
      <c r="K14" s="26">
        <f>H14*Subsector!$S$13</f>
        <v>0</v>
      </c>
      <c r="L14" s="26">
        <f>H14*Subsector!$S$15</f>
        <v>0</v>
      </c>
      <c r="M14" s="26">
        <f>H14*Subsector!$S$16</f>
        <v>0</v>
      </c>
      <c r="N14" s="66">
        <f>H14*Subsector!$S$17</f>
        <v>0</v>
      </c>
      <c r="O14" s="41">
        <f t="shared" si="2"/>
        <v>0</v>
      </c>
      <c r="P14" s="26">
        <f t="shared" si="2"/>
        <v>0</v>
      </c>
      <c r="Q14" s="26">
        <f t="shared" si="3"/>
        <v>0</v>
      </c>
      <c r="R14" s="26">
        <f t="shared" si="4"/>
        <v>0</v>
      </c>
      <c r="S14" s="26">
        <f t="shared" si="5"/>
        <v>0</v>
      </c>
      <c r="T14" s="26">
        <f t="shared" si="5"/>
        <v>0</v>
      </c>
      <c r="U14" s="42">
        <f t="shared" si="6"/>
        <v>0</v>
      </c>
    </row>
    <row r="15" spans="1:21" ht="19.95" hidden="1" customHeight="1" x14ac:dyDescent="0.3">
      <c r="A15" s="52"/>
      <c r="B15" s="24"/>
      <c r="C15" s="24">
        <v>64016</v>
      </c>
      <c r="D15" s="25" t="s">
        <v>48</v>
      </c>
      <c r="E15" s="43"/>
      <c r="F15" s="27"/>
      <c r="G15" s="27"/>
      <c r="H15" s="44"/>
      <c r="I15" s="49">
        <f>H15*Subsector!$S$11</f>
        <v>0</v>
      </c>
      <c r="J15" s="26">
        <f>H15*Subsector!$S$12</f>
        <v>0</v>
      </c>
      <c r="K15" s="26">
        <f>H15*Subsector!$S$13</f>
        <v>0</v>
      </c>
      <c r="L15" s="26">
        <f>H15*Subsector!$S$15</f>
        <v>0</v>
      </c>
      <c r="M15" s="26">
        <f>H15*Subsector!$S$16</f>
        <v>0</v>
      </c>
      <c r="N15" s="66">
        <f>H15*Subsector!$S$17</f>
        <v>0</v>
      </c>
      <c r="O15" s="41">
        <f t="shared" si="2"/>
        <v>0</v>
      </c>
      <c r="P15" s="26">
        <f t="shared" si="2"/>
        <v>0</v>
      </c>
      <c r="Q15" s="26">
        <f t="shared" si="3"/>
        <v>0</v>
      </c>
      <c r="R15" s="26">
        <f t="shared" si="4"/>
        <v>0</v>
      </c>
      <c r="S15" s="26">
        <f t="shared" si="5"/>
        <v>0</v>
      </c>
      <c r="T15" s="26">
        <f t="shared" si="5"/>
        <v>0</v>
      </c>
      <c r="U15" s="42">
        <f t="shared" si="6"/>
        <v>0</v>
      </c>
    </row>
    <row r="16" spans="1:21" ht="19.95" hidden="1" customHeight="1" x14ac:dyDescent="0.3">
      <c r="A16" s="52"/>
      <c r="B16" s="24"/>
      <c r="C16" s="24">
        <v>64017</v>
      </c>
      <c r="D16" s="25" t="s">
        <v>49</v>
      </c>
      <c r="E16" s="43"/>
      <c r="F16" s="27"/>
      <c r="G16" s="27"/>
      <c r="H16" s="44"/>
      <c r="I16" s="49">
        <f>H16*Subsector!$S$11</f>
        <v>0</v>
      </c>
      <c r="J16" s="26">
        <f>H16*Subsector!$S$12</f>
        <v>0</v>
      </c>
      <c r="K16" s="26">
        <f>H16*Subsector!$S$13</f>
        <v>0</v>
      </c>
      <c r="L16" s="26">
        <f>H16*Subsector!$S$15</f>
        <v>0</v>
      </c>
      <c r="M16" s="26">
        <f>H16*Subsector!$S$16</f>
        <v>0</v>
      </c>
      <c r="N16" s="66">
        <f>H16*Subsector!$S$17</f>
        <v>0</v>
      </c>
      <c r="O16" s="41">
        <f t="shared" si="2"/>
        <v>0</v>
      </c>
      <c r="P16" s="26">
        <f t="shared" si="2"/>
        <v>0</v>
      </c>
      <c r="Q16" s="26">
        <f t="shared" si="3"/>
        <v>0</v>
      </c>
      <c r="R16" s="26">
        <f t="shared" si="4"/>
        <v>0</v>
      </c>
      <c r="S16" s="26">
        <f t="shared" si="5"/>
        <v>0</v>
      </c>
      <c r="T16" s="26">
        <f t="shared" si="5"/>
        <v>0</v>
      </c>
      <c r="U16" s="42">
        <f t="shared" si="6"/>
        <v>0</v>
      </c>
    </row>
    <row r="17" spans="1:21" ht="19.95" hidden="1" customHeight="1" x14ac:dyDescent="0.3">
      <c r="A17" s="52"/>
      <c r="B17" s="24"/>
      <c r="C17" s="24">
        <v>64018</v>
      </c>
      <c r="D17" s="25" t="s">
        <v>50</v>
      </c>
      <c r="E17" s="43"/>
      <c r="F17" s="27"/>
      <c r="G17" s="27"/>
      <c r="H17" s="44"/>
      <c r="I17" s="49">
        <f>H17*Subsector!$S$11</f>
        <v>0</v>
      </c>
      <c r="J17" s="26">
        <f>H17*Subsector!$S$12</f>
        <v>0</v>
      </c>
      <c r="K17" s="26">
        <f>H17*Subsector!$S$13</f>
        <v>0</v>
      </c>
      <c r="L17" s="26">
        <f>H17*Subsector!$S$15</f>
        <v>0</v>
      </c>
      <c r="M17" s="26">
        <f>H17*Subsector!$S$16</f>
        <v>0</v>
      </c>
      <c r="N17" s="66">
        <f>H17*Subsector!$S$17</f>
        <v>0</v>
      </c>
      <c r="O17" s="41">
        <f t="shared" si="2"/>
        <v>0</v>
      </c>
      <c r="P17" s="26">
        <f t="shared" si="2"/>
        <v>0</v>
      </c>
      <c r="Q17" s="26">
        <f t="shared" si="3"/>
        <v>0</v>
      </c>
      <c r="R17" s="26">
        <f t="shared" si="4"/>
        <v>0</v>
      </c>
      <c r="S17" s="26">
        <f t="shared" si="5"/>
        <v>0</v>
      </c>
      <c r="T17" s="26">
        <f t="shared" si="5"/>
        <v>0</v>
      </c>
      <c r="U17" s="42">
        <f t="shared" si="6"/>
        <v>0</v>
      </c>
    </row>
    <row r="18" spans="1:21" ht="19.95" customHeight="1" x14ac:dyDescent="0.3">
      <c r="A18" s="51"/>
      <c r="B18" s="23">
        <v>6402</v>
      </c>
      <c r="C18" s="23"/>
      <c r="D18" s="21" t="s">
        <v>51</v>
      </c>
      <c r="E18" s="39">
        <f>SUM(E19:E26)</f>
        <v>0</v>
      </c>
      <c r="F18" s="22">
        <f t="shared" ref="F18:U18" si="7">SUM(F19:F26)</f>
        <v>1676.4</v>
      </c>
      <c r="G18" s="22">
        <f t="shared" si="7"/>
        <v>0</v>
      </c>
      <c r="H18" s="40">
        <f t="shared" si="7"/>
        <v>157.99999999999997</v>
      </c>
      <c r="I18" s="36">
        <f t="shared" si="7"/>
        <v>0.5601362844260136</v>
      </c>
      <c r="J18" s="22">
        <f t="shared" si="7"/>
        <v>95.101345912899873</v>
      </c>
      <c r="K18" s="22">
        <f t="shared" si="7"/>
        <v>59.602451660966437</v>
      </c>
      <c r="L18" s="22">
        <f t="shared" si="7"/>
        <v>1.983730265197198</v>
      </c>
      <c r="M18" s="22">
        <f t="shared" si="7"/>
        <v>0</v>
      </c>
      <c r="N18" s="65">
        <f t="shared" si="7"/>
        <v>0.75233587651047251</v>
      </c>
      <c r="O18" s="39">
        <f t="shared" si="7"/>
        <v>0.70000000000000007</v>
      </c>
      <c r="P18" s="22">
        <f t="shared" si="7"/>
        <v>1771.7</v>
      </c>
      <c r="Q18" s="22">
        <f t="shared" si="7"/>
        <v>59.800000000000004</v>
      </c>
      <c r="R18" s="22">
        <f t="shared" si="7"/>
        <v>2.2000000000000002</v>
      </c>
      <c r="S18" s="22">
        <f t="shared" si="7"/>
        <v>0</v>
      </c>
      <c r="T18" s="22">
        <f t="shared" si="7"/>
        <v>0.9</v>
      </c>
      <c r="U18" s="40">
        <f t="shared" si="7"/>
        <v>1835.2999999999997</v>
      </c>
    </row>
    <row r="19" spans="1:21" ht="19.95" customHeight="1" x14ac:dyDescent="0.3">
      <c r="A19" s="52"/>
      <c r="B19" s="24"/>
      <c r="C19" s="24">
        <v>64021</v>
      </c>
      <c r="D19" s="25" t="s">
        <v>52</v>
      </c>
      <c r="E19" s="43"/>
      <c r="F19" s="27">
        <v>654.1</v>
      </c>
      <c r="G19" s="27">
        <v>0</v>
      </c>
      <c r="H19" s="44">
        <v>80.099999999999994</v>
      </c>
      <c r="I19" s="49">
        <f>H19*Subsector!$S$11</f>
        <v>0.28396782520584612</v>
      </c>
      <c r="J19" s="26">
        <f>H19*Subsector!$S$12</f>
        <v>48.212770934324553</v>
      </c>
      <c r="K19" s="26">
        <f>H19*Subsector!$S$13</f>
        <v>30.216179607869694</v>
      </c>
      <c r="L19" s="26">
        <f>H19*Subsector!$S$15</f>
        <v>1.0056759129259212</v>
      </c>
      <c r="M19" s="26">
        <f>H19*Subsector!$S$16</f>
        <v>0</v>
      </c>
      <c r="N19" s="66">
        <f>H19*Subsector!$S$17</f>
        <v>0.38140571967398001</v>
      </c>
      <c r="O19" s="41">
        <f t="shared" ref="O19:P26" si="8">ROUNDUP(SUM(E19,I19),1)</f>
        <v>0.30000000000000004</v>
      </c>
      <c r="P19" s="26">
        <f t="shared" si="8"/>
        <v>702.4</v>
      </c>
      <c r="Q19" s="26">
        <f t="shared" ref="Q19:Q26" si="9">ROUNDUP(SUM(K19),1)</f>
        <v>30.3</v>
      </c>
      <c r="R19" s="26">
        <f t="shared" ref="R19:R26" si="10">ROUNDUP(SUM(G19,L19),1)</f>
        <v>1.1000000000000001</v>
      </c>
      <c r="S19" s="26">
        <f t="shared" ref="S19:T26" si="11">ROUNDUP(SUM(M19),1)</f>
        <v>0</v>
      </c>
      <c r="T19" s="26">
        <f t="shared" si="11"/>
        <v>0.4</v>
      </c>
      <c r="U19" s="42">
        <f t="shared" ref="U19:U26" si="12">SUM(O19:T19)</f>
        <v>734.49999999999989</v>
      </c>
    </row>
    <row r="20" spans="1:21" ht="19.95" customHeight="1" x14ac:dyDescent="0.3">
      <c r="A20" s="52"/>
      <c r="B20" s="24"/>
      <c r="C20" s="24">
        <v>64022</v>
      </c>
      <c r="D20" s="25" t="s">
        <v>53</v>
      </c>
      <c r="E20" s="43"/>
      <c r="F20" s="27">
        <v>659.1</v>
      </c>
      <c r="G20" s="27">
        <v>0</v>
      </c>
      <c r="H20" s="44">
        <v>67.8</v>
      </c>
      <c r="I20" s="49">
        <f>H20*Subsector!$S$11</f>
        <v>0.24036227901318813</v>
      </c>
      <c r="J20" s="26">
        <f>H20*Subsector!$S$12</f>
        <v>40.809311727181083</v>
      </c>
      <c r="K20" s="26">
        <f>H20*Subsector!$S$13</f>
        <v>25.576241915275475</v>
      </c>
      <c r="L20" s="26">
        <f>H20*Subsector!$S$15</f>
        <v>0.85124627835677225</v>
      </c>
      <c r="M20" s="26">
        <f>H20*Subsector!$S$16</f>
        <v>0</v>
      </c>
      <c r="N20" s="66">
        <f>H20*Subsector!$S$17</f>
        <v>0.32283780017348124</v>
      </c>
      <c r="O20" s="41">
        <f t="shared" si="8"/>
        <v>0.30000000000000004</v>
      </c>
      <c r="P20" s="26">
        <f t="shared" si="8"/>
        <v>700</v>
      </c>
      <c r="Q20" s="26">
        <f t="shared" si="9"/>
        <v>25.6</v>
      </c>
      <c r="R20" s="26">
        <f t="shared" si="10"/>
        <v>0.9</v>
      </c>
      <c r="S20" s="26">
        <f t="shared" si="11"/>
        <v>0</v>
      </c>
      <c r="T20" s="26">
        <f t="shared" si="11"/>
        <v>0.4</v>
      </c>
      <c r="U20" s="42">
        <f t="shared" si="12"/>
        <v>727.19999999999993</v>
      </c>
    </row>
    <row r="21" spans="1:21" ht="19.95" customHeight="1" x14ac:dyDescent="0.3">
      <c r="A21" s="52"/>
      <c r="B21" s="24"/>
      <c r="C21" s="24">
        <v>64023</v>
      </c>
      <c r="D21" s="25" t="s">
        <v>54</v>
      </c>
      <c r="E21" s="43"/>
      <c r="F21" s="27">
        <v>259.5</v>
      </c>
      <c r="G21" s="27">
        <v>0</v>
      </c>
      <c r="H21" s="44">
        <v>0</v>
      </c>
      <c r="I21" s="49">
        <f>H21*Subsector!$S$11</f>
        <v>0</v>
      </c>
      <c r="J21" s="26">
        <f>H21*Subsector!$S$12</f>
        <v>0</v>
      </c>
      <c r="K21" s="26">
        <f>H21*Subsector!$S$13</f>
        <v>0</v>
      </c>
      <c r="L21" s="26">
        <f>H21*Subsector!$S$15</f>
        <v>0</v>
      </c>
      <c r="M21" s="26">
        <f>H21*Subsector!$S$16</f>
        <v>0</v>
      </c>
      <c r="N21" s="66">
        <f>H21*Subsector!$S$17</f>
        <v>0</v>
      </c>
      <c r="O21" s="41">
        <f t="shared" si="8"/>
        <v>0</v>
      </c>
      <c r="P21" s="26">
        <f t="shared" si="8"/>
        <v>259.5</v>
      </c>
      <c r="Q21" s="26">
        <f t="shared" si="9"/>
        <v>0</v>
      </c>
      <c r="R21" s="26">
        <f t="shared" si="10"/>
        <v>0</v>
      </c>
      <c r="S21" s="26">
        <f t="shared" si="11"/>
        <v>0</v>
      </c>
      <c r="T21" s="26">
        <f t="shared" si="11"/>
        <v>0</v>
      </c>
      <c r="U21" s="42">
        <f t="shared" si="12"/>
        <v>259.5</v>
      </c>
    </row>
    <row r="22" spans="1:21" ht="19.95" hidden="1" customHeight="1" x14ac:dyDescent="0.3">
      <c r="A22" s="52"/>
      <c r="B22" s="24"/>
      <c r="C22" s="24">
        <v>64024</v>
      </c>
      <c r="D22" s="25" t="s">
        <v>55</v>
      </c>
      <c r="E22" s="43"/>
      <c r="F22" s="27"/>
      <c r="G22" s="27"/>
      <c r="H22" s="44"/>
      <c r="I22" s="49">
        <f>H22*Subsector!$S$11</f>
        <v>0</v>
      </c>
      <c r="J22" s="26">
        <f>H22*Subsector!$S$12</f>
        <v>0</v>
      </c>
      <c r="K22" s="26">
        <f>H22*Subsector!$S$13</f>
        <v>0</v>
      </c>
      <c r="L22" s="26">
        <f>H22*Subsector!$S$15</f>
        <v>0</v>
      </c>
      <c r="M22" s="26">
        <f>H22*Subsector!$S$16</f>
        <v>0</v>
      </c>
      <c r="N22" s="66">
        <f>H22*Subsector!$S$17</f>
        <v>0</v>
      </c>
      <c r="O22" s="41">
        <f t="shared" si="8"/>
        <v>0</v>
      </c>
      <c r="P22" s="26">
        <f t="shared" si="8"/>
        <v>0</v>
      </c>
      <c r="Q22" s="26">
        <f t="shared" si="9"/>
        <v>0</v>
      </c>
      <c r="R22" s="26">
        <f t="shared" si="10"/>
        <v>0</v>
      </c>
      <c r="S22" s="26">
        <f t="shared" si="11"/>
        <v>0</v>
      </c>
      <c r="T22" s="26">
        <f t="shared" si="11"/>
        <v>0</v>
      </c>
      <c r="U22" s="42">
        <f t="shared" si="12"/>
        <v>0</v>
      </c>
    </row>
    <row r="23" spans="1:21" ht="19.95" hidden="1" customHeight="1" x14ac:dyDescent="0.3">
      <c r="A23" s="52"/>
      <c r="B23" s="24"/>
      <c r="C23" s="24">
        <v>64025</v>
      </c>
      <c r="D23" s="25" t="s">
        <v>56</v>
      </c>
      <c r="E23" s="43"/>
      <c r="F23" s="27"/>
      <c r="G23" s="27"/>
      <c r="H23" s="44"/>
      <c r="I23" s="49">
        <f>H23*Subsector!$S$11</f>
        <v>0</v>
      </c>
      <c r="J23" s="26">
        <f>H23*Subsector!$S$12</f>
        <v>0</v>
      </c>
      <c r="K23" s="26">
        <f>H23*Subsector!$S$13</f>
        <v>0</v>
      </c>
      <c r="L23" s="26">
        <f>H23*Subsector!$S$15</f>
        <v>0</v>
      </c>
      <c r="M23" s="26">
        <f>H23*Subsector!$S$16</f>
        <v>0</v>
      </c>
      <c r="N23" s="66">
        <f>H23*Subsector!$S$17</f>
        <v>0</v>
      </c>
      <c r="O23" s="41">
        <f t="shared" si="8"/>
        <v>0</v>
      </c>
      <c r="P23" s="26">
        <f t="shared" si="8"/>
        <v>0</v>
      </c>
      <c r="Q23" s="26">
        <f t="shared" si="9"/>
        <v>0</v>
      </c>
      <c r="R23" s="26">
        <f t="shared" si="10"/>
        <v>0</v>
      </c>
      <c r="S23" s="26">
        <f t="shared" si="11"/>
        <v>0</v>
      </c>
      <c r="T23" s="26">
        <f t="shared" si="11"/>
        <v>0</v>
      </c>
      <c r="U23" s="42">
        <f t="shared" si="12"/>
        <v>0</v>
      </c>
    </row>
    <row r="24" spans="1:21" ht="19.95" customHeight="1" x14ac:dyDescent="0.3">
      <c r="A24" s="52"/>
      <c r="B24" s="24"/>
      <c r="C24" s="24">
        <v>64026</v>
      </c>
      <c r="D24" s="25" t="s">
        <v>57</v>
      </c>
      <c r="E24" s="43"/>
      <c r="F24" s="27">
        <v>103.69999999999999</v>
      </c>
      <c r="G24" s="27">
        <v>0</v>
      </c>
      <c r="H24" s="44">
        <v>10.1</v>
      </c>
      <c r="I24" s="49">
        <f>H24*Subsector!$S$11</f>
        <v>3.580618020697935E-2</v>
      </c>
      <c r="J24" s="26">
        <f>H24*Subsector!$S$12</f>
        <v>6.0792632513942326</v>
      </c>
      <c r="K24" s="26">
        <f>H24*Subsector!$S$13</f>
        <v>3.8100301378212724</v>
      </c>
      <c r="L24" s="26">
        <f>H24*Subsector!$S$15</f>
        <v>0.12680807391450444</v>
      </c>
      <c r="M24" s="26">
        <f>H24*Subsector!$S$16</f>
        <v>0</v>
      </c>
      <c r="N24" s="66">
        <f>H24*Subsector!$S$17</f>
        <v>4.8092356663011218E-2</v>
      </c>
      <c r="O24" s="41">
        <f t="shared" si="8"/>
        <v>0.1</v>
      </c>
      <c r="P24" s="26">
        <f t="shared" si="8"/>
        <v>109.8</v>
      </c>
      <c r="Q24" s="26">
        <f t="shared" si="9"/>
        <v>3.9</v>
      </c>
      <c r="R24" s="26">
        <f t="shared" si="10"/>
        <v>0.2</v>
      </c>
      <c r="S24" s="26">
        <f t="shared" si="11"/>
        <v>0</v>
      </c>
      <c r="T24" s="26">
        <f t="shared" si="11"/>
        <v>0.1</v>
      </c>
      <c r="U24" s="42">
        <f t="shared" si="12"/>
        <v>114.1</v>
      </c>
    </row>
    <row r="25" spans="1:21" ht="19.95" hidden="1" customHeight="1" x14ac:dyDescent="0.3">
      <c r="A25" s="52"/>
      <c r="B25" s="24"/>
      <c r="C25" s="24">
        <v>64027</v>
      </c>
      <c r="D25" s="25" t="s">
        <v>58</v>
      </c>
      <c r="E25" s="43"/>
      <c r="F25" s="27"/>
      <c r="G25" s="27"/>
      <c r="H25" s="44"/>
      <c r="I25" s="49">
        <f>H25*Subsector!$S$11</f>
        <v>0</v>
      </c>
      <c r="J25" s="26">
        <f>H25*Subsector!$S$12</f>
        <v>0</v>
      </c>
      <c r="K25" s="26">
        <f>H25*Subsector!$S$13</f>
        <v>0</v>
      </c>
      <c r="L25" s="26">
        <f>H25*Subsector!$S$15</f>
        <v>0</v>
      </c>
      <c r="M25" s="26">
        <f>H25*Subsector!$S$16</f>
        <v>0</v>
      </c>
      <c r="N25" s="66">
        <f>H25*Subsector!$S$17</f>
        <v>0</v>
      </c>
      <c r="O25" s="41">
        <f t="shared" si="8"/>
        <v>0</v>
      </c>
      <c r="P25" s="26">
        <f t="shared" si="8"/>
        <v>0</v>
      </c>
      <c r="Q25" s="26">
        <f t="shared" si="9"/>
        <v>0</v>
      </c>
      <c r="R25" s="26">
        <f t="shared" si="10"/>
        <v>0</v>
      </c>
      <c r="S25" s="26">
        <f t="shared" si="11"/>
        <v>0</v>
      </c>
      <c r="T25" s="26">
        <f t="shared" si="11"/>
        <v>0</v>
      </c>
      <c r="U25" s="42">
        <f t="shared" si="12"/>
        <v>0</v>
      </c>
    </row>
    <row r="26" spans="1:21" ht="19.95" hidden="1" customHeight="1" x14ac:dyDescent="0.3">
      <c r="A26" s="52"/>
      <c r="B26" s="24"/>
      <c r="C26" s="24">
        <v>64028</v>
      </c>
      <c r="D26" s="25" t="s">
        <v>59</v>
      </c>
      <c r="E26" s="43"/>
      <c r="F26" s="27"/>
      <c r="G26" s="27"/>
      <c r="H26" s="44"/>
      <c r="I26" s="49">
        <f>H26*Subsector!$S$11</f>
        <v>0</v>
      </c>
      <c r="J26" s="26">
        <f>H26*Subsector!$S$12</f>
        <v>0</v>
      </c>
      <c r="K26" s="26">
        <f>H26*Subsector!$S$13</f>
        <v>0</v>
      </c>
      <c r="L26" s="26">
        <f>H26*Subsector!$S$15</f>
        <v>0</v>
      </c>
      <c r="M26" s="26">
        <f>H26*Subsector!$S$16</f>
        <v>0</v>
      </c>
      <c r="N26" s="66">
        <f>H26*Subsector!$S$17</f>
        <v>0</v>
      </c>
      <c r="O26" s="41">
        <f t="shared" si="8"/>
        <v>0</v>
      </c>
      <c r="P26" s="26">
        <f t="shared" si="8"/>
        <v>0</v>
      </c>
      <c r="Q26" s="26">
        <f t="shared" si="9"/>
        <v>0</v>
      </c>
      <c r="R26" s="26">
        <f t="shared" si="10"/>
        <v>0</v>
      </c>
      <c r="S26" s="26">
        <f t="shared" si="11"/>
        <v>0</v>
      </c>
      <c r="T26" s="26">
        <f t="shared" si="11"/>
        <v>0</v>
      </c>
      <c r="U26" s="42">
        <f t="shared" si="12"/>
        <v>0</v>
      </c>
    </row>
    <row r="27" spans="1:21" ht="19.95" hidden="1" customHeight="1" x14ac:dyDescent="0.3">
      <c r="A27" s="51"/>
      <c r="B27" s="23">
        <v>6403</v>
      </c>
      <c r="C27" s="23"/>
      <c r="D27" s="21" t="s">
        <v>60</v>
      </c>
      <c r="E27" s="39">
        <f>SUM(E28:E32)</f>
        <v>0</v>
      </c>
      <c r="F27" s="22">
        <f t="shared" ref="F27:U27" si="13">SUM(F28:F32)</f>
        <v>0</v>
      </c>
      <c r="G27" s="22">
        <f t="shared" si="13"/>
        <v>0</v>
      </c>
      <c r="H27" s="40">
        <f t="shared" si="13"/>
        <v>0</v>
      </c>
      <c r="I27" s="36">
        <f t="shared" si="13"/>
        <v>0</v>
      </c>
      <c r="J27" s="22">
        <f t="shared" si="13"/>
        <v>0</v>
      </c>
      <c r="K27" s="22">
        <f t="shared" si="13"/>
        <v>0</v>
      </c>
      <c r="L27" s="22">
        <f t="shared" si="13"/>
        <v>0</v>
      </c>
      <c r="M27" s="22">
        <f t="shared" si="13"/>
        <v>0</v>
      </c>
      <c r="N27" s="65">
        <f t="shared" si="13"/>
        <v>0</v>
      </c>
      <c r="O27" s="39">
        <f t="shared" si="13"/>
        <v>0</v>
      </c>
      <c r="P27" s="22">
        <f t="shared" si="13"/>
        <v>0</v>
      </c>
      <c r="Q27" s="22">
        <f t="shared" si="13"/>
        <v>0</v>
      </c>
      <c r="R27" s="22">
        <f t="shared" si="13"/>
        <v>0</v>
      </c>
      <c r="S27" s="22">
        <f t="shared" si="13"/>
        <v>0</v>
      </c>
      <c r="T27" s="22">
        <f t="shared" si="13"/>
        <v>0</v>
      </c>
      <c r="U27" s="40">
        <f t="shared" si="13"/>
        <v>0</v>
      </c>
    </row>
    <row r="28" spans="1:21" ht="19.95" hidden="1" customHeight="1" x14ac:dyDescent="0.3">
      <c r="A28" s="52"/>
      <c r="B28" s="24"/>
      <c r="C28" s="24">
        <v>64033</v>
      </c>
      <c r="D28" s="25" t="s">
        <v>61</v>
      </c>
      <c r="E28" s="43"/>
      <c r="F28" s="27"/>
      <c r="G28" s="27"/>
      <c r="H28" s="44"/>
      <c r="I28" s="49">
        <f>H28*Subsector!$S$11</f>
        <v>0</v>
      </c>
      <c r="J28" s="26">
        <f>H28*Subsector!$S$12</f>
        <v>0</v>
      </c>
      <c r="K28" s="26">
        <f>H28*Subsector!$S$13</f>
        <v>0</v>
      </c>
      <c r="L28" s="26">
        <f>H28*Subsector!$S$15</f>
        <v>0</v>
      </c>
      <c r="M28" s="26">
        <f>H28*Subsector!$S$16</f>
        <v>0</v>
      </c>
      <c r="N28" s="66">
        <f>H28*Subsector!$S$17</f>
        <v>0</v>
      </c>
      <c r="O28" s="41">
        <f t="shared" ref="O28:P32" si="14">ROUNDUP(SUM(E28,I28),1)</f>
        <v>0</v>
      </c>
      <c r="P28" s="26">
        <f t="shared" si="14"/>
        <v>0</v>
      </c>
      <c r="Q28" s="26">
        <f>ROUNDUP(SUM(K28),1)</f>
        <v>0</v>
      </c>
      <c r="R28" s="26">
        <f>ROUNDUP(SUM(G28,L28),1)</f>
        <v>0</v>
      </c>
      <c r="S28" s="26">
        <f t="shared" ref="S28:T32" si="15">ROUNDUP(SUM(M28),1)</f>
        <v>0</v>
      </c>
      <c r="T28" s="26">
        <f t="shared" si="15"/>
        <v>0</v>
      </c>
      <c r="U28" s="42">
        <f>SUM(O28:T28)</f>
        <v>0</v>
      </c>
    </row>
    <row r="29" spans="1:21" ht="19.95" hidden="1" customHeight="1" x14ac:dyDescent="0.3">
      <c r="A29" s="52"/>
      <c r="B29" s="24"/>
      <c r="C29" s="24">
        <v>64034</v>
      </c>
      <c r="D29" s="25" t="s">
        <v>62</v>
      </c>
      <c r="E29" s="43"/>
      <c r="F29" s="27"/>
      <c r="G29" s="27"/>
      <c r="H29" s="44"/>
      <c r="I29" s="49">
        <f>H29*Subsector!$S$11</f>
        <v>0</v>
      </c>
      <c r="J29" s="26">
        <f>H29*Subsector!$S$12</f>
        <v>0</v>
      </c>
      <c r="K29" s="26">
        <f>H29*Subsector!$S$13</f>
        <v>0</v>
      </c>
      <c r="L29" s="26">
        <f>H29*Subsector!$S$15</f>
        <v>0</v>
      </c>
      <c r="M29" s="26">
        <f>H29*Subsector!$S$16</f>
        <v>0</v>
      </c>
      <c r="N29" s="66">
        <f>H29*Subsector!$S$17</f>
        <v>0</v>
      </c>
      <c r="O29" s="41">
        <f t="shared" si="14"/>
        <v>0</v>
      </c>
      <c r="P29" s="26">
        <f t="shared" si="14"/>
        <v>0</v>
      </c>
      <c r="Q29" s="26">
        <f>ROUNDUP(SUM(K29),1)</f>
        <v>0</v>
      </c>
      <c r="R29" s="26">
        <f>ROUNDUP(SUM(G29,L29),1)</f>
        <v>0</v>
      </c>
      <c r="S29" s="26">
        <f t="shared" si="15"/>
        <v>0</v>
      </c>
      <c r="T29" s="26">
        <f t="shared" si="15"/>
        <v>0</v>
      </c>
      <c r="U29" s="42">
        <f>SUM(O29:T29)</f>
        <v>0</v>
      </c>
    </row>
    <row r="30" spans="1:21" ht="19.95" hidden="1" customHeight="1" x14ac:dyDescent="0.3">
      <c r="A30" s="52"/>
      <c r="B30" s="24"/>
      <c r="C30" s="24">
        <v>64035</v>
      </c>
      <c r="D30" s="25" t="s">
        <v>63</v>
      </c>
      <c r="E30" s="43"/>
      <c r="F30" s="27"/>
      <c r="G30" s="27"/>
      <c r="H30" s="44"/>
      <c r="I30" s="49">
        <f>H30*Subsector!$S$11</f>
        <v>0</v>
      </c>
      <c r="J30" s="26">
        <f>H30*Subsector!$S$12</f>
        <v>0</v>
      </c>
      <c r="K30" s="26">
        <f>H30*Subsector!$S$13</f>
        <v>0</v>
      </c>
      <c r="L30" s="26">
        <f>H30*Subsector!$S$15</f>
        <v>0</v>
      </c>
      <c r="M30" s="26">
        <f>H30*Subsector!$S$16</f>
        <v>0</v>
      </c>
      <c r="N30" s="66">
        <f>H30*Subsector!$S$17</f>
        <v>0</v>
      </c>
      <c r="O30" s="41">
        <f t="shared" si="14"/>
        <v>0</v>
      </c>
      <c r="P30" s="26">
        <f t="shared" si="14"/>
        <v>0</v>
      </c>
      <c r="Q30" s="26">
        <f>ROUNDUP(SUM(K30),1)</f>
        <v>0</v>
      </c>
      <c r="R30" s="26">
        <f>ROUNDUP(SUM(G30,L30),1)</f>
        <v>0</v>
      </c>
      <c r="S30" s="26">
        <f t="shared" si="15"/>
        <v>0</v>
      </c>
      <c r="T30" s="26">
        <f t="shared" si="15"/>
        <v>0</v>
      </c>
      <c r="U30" s="42">
        <f>SUM(O30:T30)</f>
        <v>0</v>
      </c>
    </row>
    <row r="31" spans="1:21" ht="19.95" hidden="1" customHeight="1" x14ac:dyDescent="0.3">
      <c r="A31" s="52"/>
      <c r="B31" s="24"/>
      <c r="C31" s="24">
        <v>64037</v>
      </c>
      <c r="D31" s="25" t="s">
        <v>64</v>
      </c>
      <c r="E31" s="43"/>
      <c r="F31" s="27"/>
      <c r="G31" s="27"/>
      <c r="H31" s="44"/>
      <c r="I31" s="49">
        <f>H31*Subsector!$S$11</f>
        <v>0</v>
      </c>
      <c r="J31" s="26">
        <f>H31*Subsector!$S$12</f>
        <v>0</v>
      </c>
      <c r="K31" s="26">
        <f>H31*Subsector!$S$13</f>
        <v>0</v>
      </c>
      <c r="L31" s="26">
        <f>H31*Subsector!$S$15</f>
        <v>0</v>
      </c>
      <c r="M31" s="26">
        <f>H31*Subsector!$S$16</f>
        <v>0</v>
      </c>
      <c r="N31" s="66">
        <f>H31*Subsector!$S$17</f>
        <v>0</v>
      </c>
      <c r="O31" s="41">
        <f t="shared" si="14"/>
        <v>0</v>
      </c>
      <c r="P31" s="26">
        <f t="shared" si="14"/>
        <v>0</v>
      </c>
      <c r="Q31" s="26">
        <f>ROUNDUP(SUM(K31),1)</f>
        <v>0</v>
      </c>
      <c r="R31" s="26">
        <f>ROUNDUP(SUM(G31,L31),1)</f>
        <v>0</v>
      </c>
      <c r="S31" s="26">
        <f t="shared" si="15"/>
        <v>0</v>
      </c>
      <c r="T31" s="26">
        <f t="shared" si="15"/>
        <v>0</v>
      </c>
      <c r="U31" s="42">
        <f>SUM(O31:T31)</f>
        <v>0</v>
      </c>
    </row>
    <row r="32" spans="1:21" ht="19.95" hidden="1" customHeight="1" x14ac:dyDescent="0.3">
      <c r="A32" s="52"/>
      <c r="B32" s="24"/>
      <c r="C32" s="24">
        <v>64038</v>
      </c>
      <c r="D32" s="25" t="s">
        <v>60</v>
      </c>
      <c r="E32" s="43"/>
      <c r="F32" s="27"/>
      <c r="G32" s="27"/>
      <c r="H32" s="44"/>
      <c r="I32" s="49">
        <f>H32*Subsector!$S$11</f>
        <v>0</v>
      </c>
      <c r="J32" s="26">
        <f>H32*Subsector!$S$12</f>
        <v>0</v>
      </c>
      <c r="K32" s="26">
        <f>H32*Subsector!$S$13</f>
        <v>0</v>
      </c>
      <c r="L32" s="26">
        <f>H32*Subsector!$S$15</f>
        <v>0</v>
      </c>
      <c r="M32" s="26">
        <f>H32*Subsector!$S$16</f>
        <v>0</v>
      </c>
      <c r="N32" s="66">
        <f>H32*Subsector!$S$17</f>
        <v>0</v>
      </c>
      <c r="O32" s="41">
        <f t="shared" si="14"/>
        <v>0</v>
      </c>
      <c r="P32" s="26">
        <f t="shared" si="14"/>
        <v>0</v>
      </c>
      <c r="Q32" s="26">
        <f>ROUNDUP(SUM(K32),1)</f>
        <v>0</v>
      </c>
      <c r="R32" s="26">
        <f>ROUNDUP(SUM(G32,L32),1)</f>
        <v>0</v>
      </c>
      <c r="S32" s="26">
        <f t="shared" si="15"/>
        <v>0</v>
      </c>
      <c r="T32" s="26">
        <f t="shared" si="15"/>
        <v>0</v>
      </c>
      <c r="U32" s="42">
        <f>SUM(O32:T32)</f>
        <v>0</v>
      </c>
    </row>
    <row r="33" spans="1:21" ht="19.95" customHeight="1" x14ac:dyDescent="0.3">
      <c r="A33" s="51"/>
      <c r="B33" s="23">
        <v>6404</v>
      </c>
      <c r="C33" s="23"/>
      <c r="D33" s="21" t="s">
        <v>65</v>
      </c>
      <c r="E33" s="39">
        <f>SUM(E34:E36)</f>
        <v>0</v>
      </c>
      <c r="F33" s="22">
        <f t="shared" ref="F33:U33" si="16">SUM(F34:F36)</f>
        <v>0</v>
      </c>
      <c r="G33" s="22">
        <f t="shared" si="16"/>
        <v>71.8</v>
      </c>
      <c r="H33" s="40">
        <f t="shared" si="16"/>
        <v>0</v>
      </c>
      <c r="I33" s="36">
        <f t="shared" si="16"/>
        <v>0</v>
      </c>
      <c r="J33" s="22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65">
        <f t="shared" si="16"/>
        <v>0</v>
      </c>
      <c r="O33" s="39">
        <f t="shared" si="16"/>
        <v>0</v>
      </c>
      <c r="P33" s="22">
        <f t="shared" si="16"/>
        <v>0</v>
      </c>
      <c r="Q33" s="22">
        <f t="shared" si="16"/>
        <v>0</v>
      </c>
      <c r="R33" s="22">
        <f t="shared" si="16"/>
        <v>71.8</v>
      </c>
      <c r="S33" s="22">
        <f t="shared" si="16"/>
        <v>0</v>
      </c>
      <c r="T33" s="22">
        <f t="shared" si="16"/>
        <v>0</v>
      </c>
      <c r="U33" s="40">
        <f t="shared" si="16"/>
        <v>71.8</v>
      </c>
    </row>
    <row r="34" spans="1:21" ht="19.95" customHeight="1" x14ac:dyDescent="0.3">
      <c r="A34" s="52"/>
      <c r="B34" s="24"/>
      <c r="C34" s="24">
        <v>64041</v>
      </c>
      <c r="D34" s="25" t="s">
        <v>66</v>
      </c>
      <c r="E34" s="43">
        <v>0</v>
      </c>
      <c r="F34" s="27">
        <v>0</v>
      </c>
      <c r="G34" s="27">
        <v>71.8</v>
      </c>
      <c r="H34" s="44">
        <v>0</v>
      </c>
      <c r="I34" s="49">
        <f>H34*Subsector!$S$11</f>
        <v>0</v>
      </c>
      <c r="J34" s="26">
        <f>H34*Subsector!$S$12</f>
        <v>0</v>
      </c>
      <c r="K34" s="26">
        <f>H34*Subsector!$S$13</f>
        <v>0</v>
      </c>
      <c r="L34" s="26">
        <f>H34*Subsector!$S$15</f>
        <v>0</v>
      </c>
      <c r="M34" s="26">
        <f>H34*Subsector!$S$16</f>
        <v>0</v>
      </c>
      <c r="N34" s="66">
        <f>H34*Subsector!$S$17</f>
        <v>0</v>
      </c>
      <c r="O34" s="41">
        <f t="shared" ref="O34:P36" si="17">ROUNDUP(SUM(E34,I34),1)</f>
        <v>0</v>
      </c>
      <c r="P34" s="26">
        <f t="shared" si="17"/>
        <v>0</v>
      </c>
      <c r="Q34" s="26">
        <f>ROUNDUP(SUM(K34),1)</f>
        <v>0</v>
      </c>
      <c r="R34" s="26">
        <f>ROUNDUP(SUM(G34,L34),1)</f>
        <v>71.8</v>
      </c>
      <c r="S34" s="26">
        <f t="shared" ref="S34:T36" si="18">ROUNDUP(SUM(M34),1)</f>
        <v>0</v>
      </c>
      <c r="T34" s="26">
        <f t="shared" si="18"/>
        <v>0</v>
      </c>
      <c r="U34" s="42">
        <f>SUM(O34:T34)</f>
        <v>71.8</v>
      </c>
    </row>
    <row r="35" spans="1:21" ht="19.95" hidden="1" customHeight="1" x14ac:dyDescent="0.3">
      <c r="A35" s="52"/>
      <c r="B35" s="24"/>
      <c r="C35" s="24">
        <v>64042</v>
      </c>
      <c r="D35" s="25" t="s">
        <v>67</v>
      </c>
      <c r="E35" s="43"/>
      <c r="F35" s="27"/>
      <c r="G35" s="27"/>
      <c r="H35" s="44"/>
      <c r="I35" s="49">
        <f>H35*Subsector!$S$11</f>
        <v>0</v>
      </c>
      <c r="J35" s="26">
        <f>H35*Subsector!$S$12</f>
        <v>0</v>
      </c>
      <c r="K35" s="26">
        <f>H35*Subsector!$S$13</f>
        <v>0</v>
      </c>
      <c r="L35" s="26">
        <f>H35*Subsector!$S$15</f>
        <v>0</v>
      </c>
      <c r="M35" s="26">
        <f>H35*Subsector!$S$16</f>
        <v>0</v>
      </c>
      <c r="N35" s="66">
        <f>H35*Subsector!$S$17</f>
        <v>0</v>
      </c>
      <c r="O35" s="41">
        <f t="shared" si="17"/>
        <v>0</v>
      </c>
      <c r="P35" s="26">
        <f t="shared" si="17"/>
        <v>0</v>
      </c>
      <c r="Q35" s="26">
        <f>ROUNDUP(SUM(K35),1)</f>
        <v>0</v>
      </c>
      <c r="R35" s="26">
        <f>ROUNDUP(SUM(G35,L35),1)</f>
        <v>0</v>
      </c>
      <c r="S35" s="26">
        <f t="shared" si="18"/>
        <v>0</v>
      </c>
      <c r="T35" s="26">
        <f t="shared" si="18"/>
        <v>0</v>
      </c>
      <c r="U35" s="42">
        <f>SUM(O35:T35)</f>
        <v>0</v>
      </c>
    </row>
    <row r="36" spans="1:21" ht="19.95" hidden="1" customHeight="1" x14ac:dyDescent="0.3">
      <c r="A36" s="53"/>
      <c r="B36" s="23"/>
      <c r="C36" s="24">
        <v>64048</v>
      </c>
      <c r="D36" s="25" t="s">
        <v>68</v>
      </c>
      <c r="E36" s="43"/>
      <c r="F36" s="27"/>
      <c r="G36" s="27"/>
      <c r="H36" s="44"/>
      <c r="I36" s="49">
        <f>H36*Subsector!$S$11</f>
        <v>0</v>
      </c>
      <c r="J36" s="26">
        <f>H36*Subsector!$S$12</f>
        <v>0</v>
      </c>
      <c r="K36" s="26">
        <f>H36*Subsector!$S$13</f>
        <v>0</v>
      </c>
      <c r="L36" s="26">
        <f>H36*Subsector!$S$15</f>
        <v>0</v>
      </c>
      <c r="M36" s="26">
        <f>H36*Subsector!$S$16</f>
        <v>0</v>
      </c>
      <c r="N36" s="66">
        <f>H36*Subsector!$S$17</f>
        <v>0</v>
      </c>
      <c r="O36" s="41">
        <f t="shared" si="17"/>
        <v>0</v>
      </c>
      <c r="P36" s="26">
        <f t="shared" si="17"/>
        <v>0</v>
      </c>
      <c r="Q36" s="26">
        <f>ROUNDUP(SUM(K36),1)</f>
        <v>0</v>
      </c>
      <c r="R36" s="26">
        <f>ROUNDUP(SUM(G36,L36),1)</f>
        <v>0</v>
      </c>
      <c r="S36" s="26">
        <f t="shared" si="18"/>
        <v>0</v>
      </c>
      <c r="T36" s="26">
        <f t="shared" si="18"/>
        <v>0</v>
      </c>
      <c r="U36" s="42">
        <f>SUM(O36:T36)</f>
        <v>0</v>
      </c>
    </row>
    <row r="37" spans="1:21" ht="19.95" customHeight="1" x14ac:dyDescent="0.3">
      <c r="A37" s="54"/>
      <c r="B37" s="23">
        <v>6405</v>
      </c>
      <c r="C37" s="23"/>
      <c r="D37" s="21" t="s">
        <v>69</v>
      </c>
      <c r="E37" s="39">
        <f>SUM(E38:E44)</f>
        <v>0</v>
      </c>
      <c r="F37" s="22">
        <f t="shared" ref="F37:U37" si="19">SUM(F38:F44)</f>
        <v>18.899999999999999</v>
      </c>
      <c r="G37" s="22">
        <f t="shared" si="19"/>
        <v>0</v>
      </c>
      <c r="H37" s="40">
        <f t="shared" si="19"/>
        <v>0</v>
      </c>
      <c r="I37" s="36">
        <f t="shared" si="19"/>
        <v>0</v>
      </c>
      <c r="J37" s="22">
        <f t="shared" si="19"/>
        <v>0</v>
      </c>
      <c r="K37" s="22">
        <f t="shared" si="19"/>
        <v>0</v>
      </c>
      <c r="L37" s="22">
        <f t="shared" si="19"/>
        <v>0</v>
      </c>
      <c r="M37" s="22">
        <f t="shared" si="19"/>
        <v>0</v>
      </c>
      <c r="N37" s="65">
        <f t="shared" si="19"/>
        <v>0</v>
      </c>
      <c r="O37" s="39">
        <f t="shared" si="19"/>
        <v>0</v>
      </c>
      <c r="P37" s="22">
        <f t="shared" si="19"/>
        <v>18.899999999999999</v>
      </c>
      <c r="Q37" s="22">
        <f t="shared" si="19"/>
        <v>0</v>
      </c>
      <c r="R37" s="22">
        <f t="shared" si="19"/>
        <v>0</v>
      </c>
      <c r="S37" s="22">
        <f t="shared" si="19"/>
        <v>0</v>
      </c>
      <c r="T37" s="22">
        <f t="shared" si="19"/>
        <v>0</v>
      </c>
      <c r="U37" s="40">
        <f t="shared" si="19"/>
        <v>18.899999999999999</v>
      </c>
    </row>
    <row r="38" spans="1:21" ht="19.95" customHeight="1" x14ac:dyDescent="0.3">
      <c r="A38" s="55"/>
      <c r="B38" s="23"/>
      <c r="C38" s="24">
        <v>64051</v>
      </c>
      <c r="D38" s="25" t="s">
        <v>70</v>
      </c>
      <c r="E38" s="43"/>
      <c r="F38" s="27"/>
      <c r="G38" s="27"/>
      <c r="H38" s="44"/>
      <c r="I38" s="49">
        <f>H38*Subsector!$S$11</f>
        <v>0</v>
      </c>
      <c r="J38" s="26">
        <f>H38*Subsector!$S$12</f>
        <v>0</v>
      </c>
      <c r="K38" s="26">
        <f>H38*Subsector!$S$13</f>
        <v>0</v>
      </c>
      <c r="L38" s="26">
        <f>H38*Subsector!$S$15</f>
        <v>0</v>
      </c>
      <c r="M38" s="26">
        <f>H38*Subsector!$S$16</f>
        <v>0</v>
      </c>
      <c r="N38" s="66">
        <f>H38*Subsector!$S$17</f>
        <v>0</v>
      </c>
      <c r="O38" s="41">
        <f t="shared" ref="O38:P44" si="20">ROUNDUP(SUM(E38,I38),1)</f>
        <v>0</v>
      </c>
      <c r="P38" s="26">
        <f t="shared" si="20"/>
        <v>0</v>
      </c>
      <c r="Q38" s="26">
        <f t="shared" ref="Q38:Q44" si="21">ROUNDUP(SUM(K38),1)</f>
        <v>0</v>
      </c>
      <c r="R38" s="26">
        <f t="shared" ref="R38:R44" si="22">ROUNDUP(SUM(G38,L38),1)</f>
        <v>0</v>
      </c>
      <c r="S38" s="26">
        <f t="shared" ref="S38:T44" si="23">ROUNDUP(SUM(M38),1)</f>
        <v>0</v>
      </c>
      <c r="T38" s="26">
        <f t="shared" si="23"/>
        <v>0</v>
      </c>
      <c r="U38" s="42">
        <f t="shared" ref="U38:U44" si="24">SUM(O38:T38)</f>
        <v>0</v>
      </c>
    </row>
    <row r="39" spans="1:21" ht="19.95" customHeight="1" x14ac:dyDescent="0.3">
      <c r="A39" s="55"/>
      <c r="B39" s="24"/>
      <c r="C39" s="24">
        <v>64052</v>
      </c>
      <c r="D39" s="25" t="s">
        <v>71</v>
      </c>
      <c r="E39" s="43"/>
      <c r="F39" s="27">
        <v>4</v>
      </c>
      <c r="G39" s="27">
        <v>0</v>
      </c>
      <c r="H39" s="44">
        <v>0</v>
      </c>
      <c r="I39" s="49">
        <f>H39*Subsector!$S$11</f>
        <v>0</v>
      </c>
      <c r="J39" s="26">
        <f>H39*Subsector!$S$12</f>
        <v>0</v>
      </c>
      <c r="K39" s="26">
        <f>H39*Subsector!$S$13</f>
        <v>0</v>
      </c>
      <c r="L39" s="26">
        <f>H39*Subsector!$S$15</f>
        <v>0</v>
      </c>
      <c r="M39" s="26">
        <f>H39*Subsector!$S$16</f>
        <v>0</v>
      </c>
      <c r="N39" s="66">
        <f>H39*Subsector!$S$17</f>
        <v>0</v>
      </c>
      <c r="O39" s="41">
        <f t="shared" si="20"/>
        <v>0</v>
      </c>
      <c r="P39" s="26">
        <f t="shared" si="20"/>
        <v>4</v>
      </c>
      <c r="Q39" s="26">
        <f t="shared" si="21"/>
        <v>0</v>
      </c>
      <c r="R39" s="26">
        <f t="shared" si="22"/>
        <v>0</v>
      </c>
      <c r="S39" s="26">
        <f t="shared" si="23"/>
        <v>0</v>
      </c>
      <c r="T39" s="26">
        <f t="shared" si="23"/>
        <v>0</v>
      </c>
      <c r="U39" s="42">
        <f t="shared" si="24"/>
        <v>4</v>
      </c>
    </row>
    <row r="40" spans="1:21" ht="19.95" customHeight="1" x14ac:dyDescent="0.3">
      <c r="A40" s="55"/>
      <c r="B40" s="24"/>
      <c r="C40" s="24">
        <v>64053</v>
      </c>
      <c r="D40" s="25" t="s">
        <v>72</v>
      </c>
      <c r="E40" s="43"/>
      <c r="F40" s="27">
        <v>14.9</v>
      </c>
      <c r="G40" s="27">
        <v>0</v>
      </c>
      <c r="H40" s="44">
        <v>0</v>
      </c>
      <c r="I40" s="49">
        <f>H40*Subsector!$S$11</f>
        <v>0</v>
      </c>
      <c r="J40" s="26">
        <f>H40*Subsector!$S$12</f>
        <v>0</v>
      </c>
      <c r="K40" s="26">
        <f>H40*Subsector!$S$13</f>
        <v>0</v>
      </c>
      <c r="L40" s="26">
        <f>H40*Subsector!$S$15</f>
        <v>0</v>
      </c>
      <c r="M40" s="26">
        <f>H40*Subsector!$S$16</f>
        <v>0</v>
      </c>
      <c r="N40" s="66">
        <f>H40*Subsector!$S$17</f>
        <v>0</v>
      </c>
      <c r="O40" s="41">
        <f t="shared" si="20"/>
        <v>0</v>
      </c>
      <c r="P40" s="26">
        <f t="shared" si="20"/>
        <v>14.9</v>
      </c>
      <c r="Q40" s="26">
        <f t="shared" si="21"/>
        <v>0</v>
      </c>
      <c r="R40" s="26">
        <f t="shared" si="22"/>
        <v>0</v>
      </c>
      <c r="S40" s="26">
        <f t="shared" si="23"/>
        <v>0</v>
      </c>
      <c r="T40" s="26">
        <f t="shared" si="23"/>
        <v>0</v>
      </c>
      <c r="U40" s="42">
        <f t="shared" si="24"/>
        <v>14.9</v>
      </c>
    </row>
    <row r="41" spans="1:21" ht="19.95" customHeight="1" x14ac:dyDescent="0.3">
      <c r="A41" s="55"/>
      <c r="B41" s="24"/>
      <c r="C41" s="24">
        <v>64054</v>
      </c>
      <c r="D41" s="25" t="s">
        <v>73</v>
      </c>
      <c r="E41" s="43"/>
      <c r="F41" s="27">
        <v>0</v>
      </c>
      <c r="G41" s="27">
        <v>0</v>
      </c>
      <c r="H41" s="44">
        <v>0</v>
      </c>
      <c r="I41" s="49">
        <f>H41*Subsector!$S$11</f>
        <v>0</v>
      </c>
      <c r="J41" s="26">
        <f>H41*Subsector!$S$12</f>
        <v>0</v>
      </c>
      <c r="K41" s="26">
        <f>H41*Subsector!$S$13</f>
        <v>0</v>
      </c>
      <c r="L41" s="26">
        <f>H41*Subsector!$S$15</f>
        <v>0</v>
      </c>
      <c r="M41" s="26">
        <f>H41*Subsector!$S$16</f>
        <v>0</v>
      </c>
      <c r="N41" s="66">
        <f>H41*Subsector!$S$17</f>
        <v>0</v>
      </c>
      <c r="O41" s="41">
        <f t="shared" si="20"/>
        <v>0</v>
      </c>
      <c r="P41" s="26">
        <f t="shared" si="20"/>
        <v>0</v>
      </c>
      <c r="Q41" s="26">
        <f t="shared" si="21"/>
        <v>0</v>
      </c>
      <c r="R41" s="26">
        <f t="shared" si="22"/>
        <v>0</v>
      </c>
      <c r="S41" s="26">
        <f t="shared" si="23"/>
        <v>0</v>
      </c>
      <c r="T41" s="26">
        <f t="shared" si="23"/>
        <v>0</v>
      </c>
      <c r="U41" s="42">
        <f t="shared" si="24"/>
        <v>0</v>
      </c>
    </row>
    <row r="42" spans="1:21" ht="19.95" hidden="1" customHeight="1" x14ac:dyDescent="0.3">
      <c r="A42" s="55"/>
      <c r="B42" s="24"/>
      <c r="C42" s="24">
        <v>64055</v>
      </c>
      <c r="D42" s="25" t="s">
        <v>74</v>
      </c>
      <c r="E42" s="43"/>
      <c r="F42" s="27"/>
      <c r="G42" s="27"/>
      <c r="H42" s="44"/>
      <c r="I42" s="49">
        <f>H42*Subsector!$S$11</f>
        <v>0</v>
      </c>
      <c r="J42" s="26">
        <f>H42*Subsector!$S$12</f>
        <v>0</v>
      </c>
      <c r="K42" s="26">
        <f>H42*Subsector!$S$13</f>
        <v>0</v>
      </c>
      <c r="L42" s="26">
        <f>H42*Subsector!$S$15</f>
        <v>0</v>
      </c>
      <c r="M42" s="26">
        <f>H42*Subsector!$S$16</f>
        <v>0</v>
      </c>
      <c r="N42" s="66">
        <f>H42*Subsector!$S$17</f>
        <v>0</v>
      </c>
      <c r="O42" s="41">
        <f t="shared" si="20"/>
        <v>0</v>
      </c>
      <c r="P42" s="26">
        <f t="shared" si="20"/>
        <v>0</v>
      </c>
      <c r="Q42" s="26">
        <f t="shared" si="21"/>
        <v>0</v>
      </c>
      <c r="R42" s="26">
        <f t="shared" si="22"/>
        <v>0</v>
      </c>
      <c r="S42" s="26">
        <f t="shared" si="23"/>
        <v>0</v>
      </c>
      <c r="T42" s="26">
        <f t="shared" si="23"/>
        <v>0</v>
      </c>
      <c r="U42" s="42">
        <f t="shared" si="24"/>
        <v>0</v>
      </c>
    </row>
    <row r="43" spans="1:21" ht="19.95" hidden="1" customHeight="1" x14ac:dyDescent="0.3">
      <c r="A43" s="55"/>
      <c r="B43" s="24"/>
      <c r="C43" s="24">
        <v>64056</v>
      </c>
      <c r="D43" s="25" t="s">
        <v>75</v>
      </c>
      <c r="E43" s="43"/>
      <c r="F43" s="27"/>
      <c r="G43" s="27"/>
      <c r="H43" s="44"/>
      <c r="I43" s="49">
        <f>H43*Subsector!$S$11</f>
        <v>0</v>
      </c>
      <c r="J43" s="26">
        <f>H43*Subsector!$S$12</f>
        <v>0</v>
      </c>
      <c r="K43" s="26">
        <f>H43*Subsector!$S$13</f>
        <v>0</v>
      </c>
      <c r="L43" s="26">
        <f>H43*Subsector!$S$15</f>
        <v>0</v>
      </c>
      <c r="M43" s="26">
        <f>H43*Subsector!$S$16</f>
        <v>0</v>
      </c>
      <c r="N43" s="66">
        <f>H43*Subsector!$S$17</f>
        <v>0</v>
      </c>
      <c r="O43" s="41">
        <f t="shared" si="20"/>
        <v>0</v>
      </c>
      <c r="P43" s="26">
        <f t="shared" si="20"/>
        <v>0</v>
      </c>
      <c r="Q43" s="26">
        <f t="shared" si="21"/>
        <v>0</v>
      </c>
      <c r="R43" s="26">
        <f t="shared" si="22"/>
        <v>0</v>
      </c>
      <c r="S43" s="26">
        <f t="shared" si="23"/>
        <v>0</v>
      </c>
      <c r="T43" s="26">
        <f t="shared" si="23"/>
        <v>0</v>
      </c>
      <c r="U43" s="42">
        <f t="shared" si="24"/>
        <v>0</v>
      </c>
    </row>
    <row r="44" spans="1:21" ht="19.95" hidden="1" customHeight="1" x14ac:dyDescent="0.3">
      <c r="A44" s="55"/>
      <c r="B44" s="24"/>
      <c r="C44" s="24">
        <v>64058</v>
      </c>
      <c r="D44" s="25" t="s">
        <v>76</v>
      </c>
      <c r="E44" s="43"/>
      <c r="F44" s="27"/>
      <c r="G44" s="27"/>
      <c r="H44" s="44"/>
      <c r="I44" s="49">
        <f>H44*Subsector!$S$11</f>
        <v>0</v>
      </c>
      <c r="J44" s="26">
        <f>H44*Subsector!$S$12</f>
        <v>0</v>
      </c>
      <c r="K44" s="26">
        <f>H44*Subsector!$S$13</f>
        <v>0</v>
      </c>
      <c r="L44" s="26">
        <f>H44*Subsector!$S$15</f>
        <v>0</v>
      </c>
      <c r="M44" s="26">
        <f>H44*Subsector!$S$16</f>
        <v>0</v>
      </c>
      <c r="N44" s="66">
        <f>H44*Subsector!$S$17</f>
        <v>0</v>
      </c>
      <c r="O44" s="41">
        <f t="shared" si="20"/>
        <v>0</v>
      </c>
      <c r="P44" s="26">
        <f t="shared" si="20"/>
        <v>0</v>
      </c>
      <c r="Q44" s="26">
        <f t="shared" si="21"/>
        <v>0</v>
      </c>
      <c r="R44" s="26">
        <f t="shared" si="22"/>
        <v>0</v>
      </c>
      <c r="S44" s="26">
        <f t="shared" si="23"/>
        <v>0</v>
      </c>
      <c r="T44" s="26">
        <f t="shared" si="23"/>
        <v>0</v>
      </c>
      <c r="U44" s="42">
        <f t="shared" si="24"/>
        <v>0</v>
      </c>
    </row>
    <row r="45" spans="1:21" ht="19.95" customHeight="1" x14ac:dyDescent="0.3">
      <c r="A45" s="54"/>
      <c r="B45" s="28">
        <v>6406</v>
      </c>
      <c r="C45" s="23"/>
      <c r="D45" s="21" t="s">
        <v>77</v>
      </c>
      <c r="E45" s="39">
        <f>SUM(E46:E49)</f>
        <v>0</v>
      </c>
      <c r="F45" s="22">
        <f t="shared" ref="F45:U45" si="25">SUM(F46:F49)</f>
        <v>5.4</v>
      </c>
      <c r="G45" s="22">
        <f t="shared" si="25"/>
        <v>0</v>
      </c>
      <c r="H45" s="40">
        <f t="shared" si="25"/>
        <v>2.2000000000000002</v>
      </c>
      <c r="I45" s="36">
        <f t="shared" si="25"/>
        <v>7.7993659856786714E-3</v>
      </c>
      <c r="J45" s="22">
        <f t="shared" si="25"/>
        <v>1.3241959557492389</v>
      </c>
      <c r="K45" s="22">
        <f t="shared" si="25"/>
        <v>0.82990755477295053</v>
      </c>
      <c r="L45" s="22">
        <f t="shared" si="25"/>
        <v>2.7621560654644529E-2</v>
      </c>
      <c r="M45" s="22">
        <f t="shared" si="25"/>
        <v>0</v>
      </c>
      <c r="N45" s="65">
        <f t="shared" si="25"/>
        <v>1.0475562837487592E-2</v>
      </c>
      <c r="O45" s="39">
        <f t="shared" si="25"/>
        <v>0.2</v>
      </c>
      <c r="P45" s="22">
        <f t="shared" si="25"/>
        <v>6.8</v>
      </c>
      <c r="Q45" s="22">
        <f t="shared" si="25"/>
        <v>1</v>
      </c>
      <c r="R45" s="22">
        <f t="shared" si="25"/>
        <v>0.2</v>
      </c>
      <c r="S45" s="22">
        <f t="shared" si="25"/>
        <v>0</v>
      </c>
      <c r="T45" s="22">
        <f t="shared" si="25"/>
        <v>0.2</v>
      </c>
      <c r="U45" s="40">
        <f t="shared" si="25"/>
        <v>8.3999999999999986</v>
      </c>
    </row>
    <row r="46" spans="1:21" ht="19.95" customHeight="1" x14ac:dyDescent="0.3">
      <c r="A46" s="55"/>
      <c r="B46" s="28"/>
      <c r="C46" s="24">
        <v>64061</v>
      </c>
      <c r="D46" s="25" t="s">
        <v>78</v>
      </c>
      <c r="E46" s="43"/>
      <c r="F46" s="27">
        <v>3.4</v>
      </c>
      <c r="G46" s="27">
        <v>0</v>
      </c>
      <c r="H46" s="44">
        <v>1.4000000000000001</v>
      </c>
      <c r="I46" s="49">
        <f>H46*Subsector!$S$11</f>
        <v>4.9632328999773363E-3</v>
      </c>
      <c r="J46" s="26">
        <f>H46*Subsector!$S$12</f>
        <v>0.84267015365860665</v>
      </c>
      <c r="K46" s="26">
        <f>H46*Subsector!$S$13</f>
        <v>0.52812298940096858</v>
      </c>
      <c r="L46" s="26">
        <f>H46*Subsector!$S$15</f>
        <v>1.7577356780228339E-2</v>
      </c>
      <c r="M46" s="26">
        <f>H46*Subsector!$S$16</f>
        <v>0</v>
      </c>
      <c r="N46" s="66">
        <f>H46*Subsector!$S$17</f>
        <v>6.6662672602193773E-3</v>
      </c>
      <c r="O46" s="41">
        <f t="shared" ref="O46:P49" si="26">ROUNDUP(SUM(E46,I46),1)</f>
        <v>0.1</v>
      </c>
      <c r="P46" s="26">
        <f t="shared" si="26"/>
        <v>4.3</v>
      </c>
      <c r="Q46" s="26">
        <f>ROUNDUP(SUM(K46),1)</f>
        <v>0.6</v>
      </c>
      <c r="R46" s="26">
        <f>ROUNDUP(SUM(G46,L46),1)</f>
        <v>0.1</v>
      </c>
      <c r="S46" s="26">
        <f t="shared" ref="S46:T49" si="27">ROUNDUP(SUM(M46),1)</f>
        <v>0</v>
      </c>
      <c r="T46" s="26">
        <f t="shared" si="27"/>
        <v>0.1</v>
      </c>
      <c r="U46" s="42">
        <f>SUM(O46:T46)</f>
        <v>5.1999999999999984</v>
      </c>
    </row>
    <row r="47" spans="1:21" ht="19.95" customHeight="1" x14ac:dyDescent="0.3">
      <c r="A47" s="55"/>
      <c r="B47" s="28"/>
      <c r="C47" s="24">
        <v>64063</v>
      </c>
      <c r="D47" s="25" t="s">
        <v>79</v>
      </c>
      <c r="E47" s="43"/>
      <c r="F47" s="27">
        <v>2</v>
      </c>
      <c r="G47" s="27">
        <v>0</v>
      </c>
      <c r="H47" s="44">
        <v>0.79999999999999993</v>
      </c>
      <c r="I47" s="49">
        <f>H47*Subsector!$S$11</f>
        <v>2.8361330857013347E-3</v>
      </c>
      <c r="J47" s="26">
        <f>H47*Subsector!$S$12</f>
        <v>0.48152580209063223</v>
      </c>
      <c r="K47" s="26">
        <f>H47*Subsector!$S$13</f>
        <v>0.30178456537198195</v>
      </c>
      <c r="L47" s="26">
        <f>H47*Subsector!$S$15</f>
        <v>1.0044203874416192E-2</v>
      </c>
      <c r="M47" s="26">
        <f>H47*Subsector!$S$16</f>
        <v>0</v>
      </c>
      <c r="N47" s="66">
        <f>H47*Subsector!$S$17</f>
        <v>3.8092955772682149E-3</v>
      </c>
      <c r="O47" s="41">
        <f t="shared" si="26"/>
        <v>0.1</v>
      </c>
      <c r="P47" s="26">
        <f t="shared" si="26"/>
        <v>2.5</v>
      </c>
      <c r="Q47" s="26">
        <f>ROUNDUP(SUM(K47),1)</f>
        <v>0.4</v>
      </c>
      <c r="R47" s="26">
        <f>ROUNDUP(SUM(G47,L47),1)</f>
        <v>0.1</v>
      </c>
      <c r="S47" s="26">
        <f t="shared" si="27"/>
        <v>0</v>
      </c>
      <c r="T47" s="26">
        <f t="shared" si="27"/>
        <v>0.1</v>
      </c>
      <c r="U47" s="42">
        <f>SUM(O47:T47)</f>
        <v>3.2</v>
      </c>
    </row>
    <row r="48" spans="1:21" ht="19.95" hidden="1" customHeight="1" x14ac:dyDescent="0.3">
      <c r="A48" s="55"/>
      <c r="B48" s="24"/>
      <c r="C48" s="24">
        <v>64064</v>
      </c>
      <c r="D48" s="25" t="s">
        <v>80</v>
      </c>
      <c r="E48" s="43"/>
      <c r="F48" s="27"/>
      <c r="G48" s="27"/>
      <c r="H48" s="44"/>
      <c r="I48" s="49">
        <f>H48*Subsector!$S$11</f>
        <v>0</v>
      </c>
      <c r="J48" s="26">
        <f>H48*Subsector!$S$12</f>
        <v>0</v>
      </c>
      <c r="K48" s="26">
        <f>H48*Subsector!$S$13</f>
        <v>0</v>
      </c>
      <c r="L48" s="26">
        <f>H48*Subsector!$S$15</f>
        <v>0</v>
      </c>
      <c r="M48" s="26">
        <f>H48*Subsector!$S$16</f>
        <v>0</v>
      </c>
      <c r="N48" s="66">
        <f>H48*Subsector!$S$17</f>
        <v>0</v>
      </c>
      <c r="O48" s="41">
        <f t="shared" si="26"/>
        <v>0</v>
      </c>
      <c r="P48" s="26">
        <f t="shared" si="26"/>
        <v>0</v>
      </c>
      <c r="Q48" s="26">
        <f>ROUNDUP(SUM(K48),1)</f>
        <v>0</v>
      </c>
      <c r="R48" s="26">
        <f>ROUNDUP(SUM(G48,L48),1)</f>
        <v>0</v>
      </c>
      <c r="S48" s="26">
        <f t="shared" si="27"/>
        <v>0</v>
      </c>
      <c r="T48" s="26">
        <f t="shared" si="27"/>
        <v>0</v>
      </c>
      <c r="U48" s="42">
        <f>SUM(O48:T48)</f>
        <v>0</v>
      </c>
    </row>
    <row r="49" spans="1:21" ht="19.95" hidden="1" customHeight="1" x14ac:dyDescent="0.3">
      <c r="A49" s="55"/>
      <c r="B49" s="24"/>
      <c r="C49" s="24">
        <v>64068</v>
      </c>
      <c r="D49" s="25" t="s">
        <v>81</v>
      </c>
      <c r="E49" s="43"/>
      <c r="F49" s="27"/>
      <c r="G49" s="27"/>
      <c r="H49" s="44"/>
      <c r="I49" s="49">
        <f>H49*Subsector!$S$11</f>
        <v>0</v>
      </c>
      <c r="J49" s="26">
        <f>H49*Subsector!$S$12</f>
        <v>0</v>
      </c>
      <c r="K49" s="26">
        <f>H49*Subsector!$S$13</f>
        <v>0</v>
      </c>
      <c r="L49" s="26">
        <f>H49*Subsector!$S$15</f>
        <v>0</v>
      </c>
      <c r="M49" s="26">
        <f>H49*Subsector!$S$16</f>
        <v>0</v>
      </c>
      <c r="N49" s="66">
        <f>H49*Subsector!$S$17</f>
        <v>0</v>
      </c>
      <c r="O49" s="41">
        <f t="shared" si="26"/>
        <v>0</v>
      </c>
      <c r="P49" s="26">
        <f t="shared" si="26"/>
        <v>0</v>
      </c>
      <c r="Q49" s="26">
        <f>ROUNDUP(SUM(K49),1)</f>
        <v>0</v>
      </c>
      <c r="R49" s="26">
        <f>ROUNDUP(SUM(G49,L49),1)</f>
        <v>0</v>
      </c>
      <c r="S49" s="26">
        <f t="shared" si="27"/>
        <v>0</v>
      </c>
      <c r="T49" s="26">
        <f t="shared" si="27"/>
        <v>0</v>
      </c>
      <c r="U49" s="42">
        <f>SUM(O49:T49)</f>
        <v>0</v>
      </c>
    </row>
    <row r="50" spans="1:21" ht="19.95" hidden="1" customHeight="1" x14ac:dyDescent="0.3">
      <c r="A50" s="51"/>
      <c r="B50" s="28">
        <v>6407</v>
      </c>
      <c r="C50" s="28"/>
      <c r="D50" s="29" t="s">
        <v>82</v>
      </c>
      <c r="E50" s="39">
        <f>SUM(E51:E58)</f>
        <v>0</v>
      </c>
      <c r="F50" s="22">
        <f t="shared" ref="F50:U50" si="28">SUM(F51:F58)</f>
        <v>0</v>
      </c>
      <c r="G50" s="22">
        <f t="shared" si="28"/>
        <v>0</v>
      </c>
      <c r="H50" s="40">
        <f t="shared" si="28"/>
        <v>0</v>
      </c>
      <c r="I50" s="36">
        <f t="shared" si="28"/>
        <v>0</v>
      </c>
      <c r="J50" s="22">
        <f t="shared" si="28"/>
        <v>0</v>
      </c>
      <c r="K50" s="22">
        <f t="shared" si="28"/>
        <v>0</v>
      </c>
      <c r="L50" s="22">
        <f t="shared" si="28"/>
        <v>0</v>
      </c>
      <c r="M50" s="22">
        <f t="shared" si="28"/>
        <v>0</v>
      </c>
      <c r="N50" s="65">
        <f t="shared" si="28"/>
        <v>0</v>
      </c>
      <c r="O50" s="39">
        <f t="shared" si="28"/>
        <v>0</v>
      </c>
      <c r="P50" s="22">
        <f t="shared" si="28"/>
        <v>0</v>
      </c>
      <c r="Q50" s="22">
        <f t="shared" si="28"/>
        <v>0</v>
      </c>
      <c r="R50" s="22">
        <f t="shared" si="28"/>
        <v>0</v>
      </c>
      <c r="S50" s="22">
        <f t="shared" si="28"/>
        <v>0</v>
      </c>
      <c r="T50" s="22">
        <f t="shared" si="28"/>
        <v>0</v>
      </c>
      <c r="U50" s="40">
        <f t="shared" si="28"/>
        <v>0</v>
      </c>
    </row>
    <row r="51" spans="1:21" ht="19.95" hidden="1" customHeight="1" x14ac:dyDescent="0.3">
      <c r="A51" s="52"/>
      <c r="B51" s="28"/>
      <c r="C51" s="30">
        <v>64071</v>
      </c>
      <c r="D51" s="31" t="s">
        <v>83</v>
      </c>
      <c r="E51" s="43"/>
      <c r="F51" s="27"/>
      <c r="G51" s="27"/>
      <c r="H51" s="44"/>
      <c r="I51" s="49">
        <f>H51*Subsector!$S$11</f>
        <v>0</v>
      </c>
      <c r="J51" s="26">
        <f>H51*Subsector!$S$12</f>
        <v>0</v>
      </c>
      <c r="K51" s="26">
        <f>H51*Subsector!$S$13</f>
        <v>0</v>
      </c>
      <c r="L51" s="26">
        <f>H51*Subsector!$S$15</f>
        <v>0</v>
      </c>
      <c r="M51" s="26">
        <f>H51*Subsector!$S$16</f>
        <v>0</v>
      </c>
      <c r="N51" s="66">
        <f>H51*Subsector!$S$17</f>
        <v>0</v>
      </c>
      <c r="O51" s="41">
        <f t="shared" ref="O51:P58" si="29">ROUNDUP(SUM(E51,I51),1)</f>
        <v>0</v>
      </c>
      <c r="P51" s="26">
        <f t="shared" si="29"/>
        <v>0</v>
      </c>
      <c r="Q51" s="26">
        <f t="shared" ref="Q51:Q58" si="30">ROUNDUP(SUM(K51),1)</f>
        <v>0</v>
      </c>
      <c r="R51" s="26">
        <f t="shared" ref="R51:R58" si="31">ROUNDUP(SUM(G51,L51),1)</f>
        <v>0</v>
      </c>
      <c r="S51" s="26">
        <f t="shared" ref="S51:T58" si="32">ROUNDUP(SUM(M51),1)</f>
        <v>0</v>
      </c>
      <c r="T51" s="26">
        <f t="shared" si="32"/>
        <v>0</v>
      </c>
      <c r="U51" s="42">
        <f t="shared" ref="U51:U58" si="33">SUM(O51:T51)</f>
        <v>0</v>
      </c>
    </row>
    <row r="52" spans="1:21" ht="19.95" hidden="1" customHeight="1" x14ac:dyDescent="0.3">
      <c r="A52" s="52"/>
      <c r="B52" s="28"/>
      <c r="C52" s="30">
        <v>64072</v>
      </c>
      <c r="D52" s="31" t="s">
        <v>84</v>
      </c>
      <c r="E52" s="43"/>
      <c r="F52" s="27"/>
      <c r="G52" s="27"/>
      <c r="H52" s="44"/>
      <c r="I52" s="49">
        <f>H52*Subsector!$S$11</f>
        <v>0</v>
      </c>
      <c r="J52" s="26">
        <f>H52*Subsector!$S$12</f>
        <v>0</v>
      </c>
      <c r="K52" s="26">
        <f>H52*Subsector!$S$13</f>
        <v>0</v>
      </c>
      <c r="L52" s="26">
        <f>H52*Subsector!$S$15</f>
        <v>0</v>
      </c>
      <c r="M52" s="26">
        <f>H52*Subsector!$S$16</f>
        <v>0</v>
      </c>
      <c r="N52" s="66">
        <f>H52*Subsector!$S$17</f>
        <v>0</v>
      </c>
      <c r="O52" s="41">
        <f t="shared" si="29"/>
        <v>0</v>
      </c>
      <c r="P52" s="26">
        <f t="shared" si="29"/>
        <v>0</v>
      </c>
      <c r="Q52" s="26">
        <f t="shared" si="30"/>
        <v>0</v>
      </c>
      <c r="R52" s="26">
        <f t="shared" si="31"/>
        <v>0</v>
      </c>
      <c r="S52" s="26">
        <f t="shared" si="32"/>
        <v>0</v>
      </c>
      <c r="T52" s="26">
        <f t="shared" si="32"/>
        <v>0</v>
      </c>
      <c r="U52" s="42">
        <f t="shared" si="33"/>
        <v>0</v>
      </c>
    </row>
    <row r="53" spans="1:21" ht="19.95" hidden="1" customHeight="1" x14ac:dyDescent="0.3">
      <c r="A53" s="52"/>
      <c r="B53" s="28"/>
      <c r="C53" s="30">
        <v>64073</v>
      </c>
      <c r="D53" s="31" t="s">
        <v>85</v>
      </c>
      <c r="E53" s="43"/>
      <c r="F53" s="27"/>
      <c r="G53" s="27"/>
      <c r="H53" s="44"/>
      <c r="I53" s="49">
        <f>H53*Subsector!$S$11</f>
        <v>0</v>
      </c>
      <c r="J53" s="26">
        <f>H53*Subsector!$S$12</f>
        <v>0</v>
      </c>
      <c r="K53" s="26">
        <f>H53*Subsector!$S$13</f>
        <v>0</v>
      </c>
      <c r="L53" s="26">
        <f>H53*Subsector!$S$15</f>
        <v>0</v>
      </c>
      <c r="M53" s="26">
        <f>H53*Subsector!$S$16</f>
        <v>0</v>
      </c>
      <c r="N53" s="66">
        <f>H53*Subsector!$S$17</f>
        <v>0</v>
      </c>
      <c r="O53" s="41">
        <f t="shared" si="29"/>
        <v>0</v>
      </c>
      <c r="P53" s="26">
        <f t="shared" si="29"/>
        <v>0</v>
      </c>
      <c r="Q53" s="26">
        <f t="shared" si="30"/>
        <v>0</v>
      </c>
      <c r="R53" s="26">
        <f t="shared" si="31"/>
        <v>0</v>
      </c>
      <c r="S53" s="26">
        <f t="shared" si="32"/>
        <v>0</v>
      </c>
      <c r="T53" s="26">
        <f t="shared" si="32"/>
        <v>0</v>
      </c>
      <c r="U53" s="42">
        <f t="shared" si="33"/>
        <v>0</v>
      </c>
    </row>
    <row r="54" spans="1:21" ht="19.95" hidden="1" customHeight="1" x14ac:dyDescent="0.3">
      <c r="A54" s="52"/>
      <c r="B54" s="24"/>
      <c r="C54" s="30">
        <v>64074</v>
      </c>
      <c r="D54" s="25" t="s">
        <v>86</v>
      </c>
      <c r="E54" s="43"/>
      <c r="F54" s="27"/>
      <c r="G54" s="27"/>
      <c r="H54" s="44"/>
      <c r="I54" s="49">
        <f>H54*Subsector!$S$11</f>
        <v>0</v>
      </c>
      <c r="J54" s="26">
        <f>H54*Subsector!$S$12</f>
        <v>0</v>
      </c>
      <c r="K54" s="26">
        <f>H54*Subsector!$S$13</f>
        <v>0</v>
      </c>
      <c r="L54" s="26">
        <f>H54*Subsector!$S$15</f>
        <v>0</v>
      </c>
      <c r="M54" s="26">
        <f>H54*Subsector!$S$16</f>
        <v>0</v>
      </c>
      <c r="N54" s="66">
        <f>H54*Subsector!$S$17</f>
        <v>0</v>
      </c>
      <c r="O54" s="41">
        <f t="shared" si="29"/>
        <v>0</v>
      </c>
      <c r="P54" s="26">
        <f t="shared" si="29"/>
        <v>0</v>
      </c>
      <c r="Q54" s="26">
        <f t="shared" si="30"/>
        <v>0</v>
      </c>
      <c r="R54" s="26">
        <f t="shared" si="31"/>
        <v>0</v>
      </c>
      <c r="S54" s="26">
        <f t="shared" si="32"/>
        <v>0</v>
      </c>
      <c r="T54" s="26">
        <f t="shared" si="32"/>
        <v>0</v>
      </c>
      <c r="U54" s="42">
        <f t="shared" si="33"/>
        <v>0</v>
      </c>
    </row>
    <row r="55" spans="1:21" ht="19.95" hidden="1" customHeight="1" x14ac:dyDescent="0.3">
      <c r="A55" s="52"/>
      <c r="B55" s="28"/>
      <c r="C55" s="30">
        <v>64075</v>
      </c>
      <c r="D55" s="31" t="s">
        <v>48</v>
      </c>
      <c r="E55" s="43"/>
      <c r="F55" s="27"/>
      <c r="G55" s="27"/>
      <c r="H55" s="44"/>
      <c r="I55" s="49">
        <f>H55*Subsector!$S$11</f>
        <v>0</v>
      </c>
      <c r="J55" s="26">
        <f>H55*Subsector!$S$12</f>
        <v>0</v>
      </c>
      <c r="K55" s="26">
        <f>H55*Subsector!$S$13</f>
        <v>0</v>
      </c>
      <c r="L55" s="26">
        <f>H55*Subsector!$S$15</f>
        <v>0</v>
      </c>
      <c r="M55" s="26">
        <f>H55*Subsector!$S$16</f>
        <v>0</v>
      </c>
      <c r="N55" s="66">
        <f>H55*Subsector!$S$17</f>
        <v>0</v>
      </c>
      <c r="O55" s="41">
        <f t="shared" si="29"/>
        <v>0</v>
      </c>
      <c r="P55" s="26">
        <f t="shared" si="29"/>
        <v>0</v>
      </c>
      <c r="Q55" s="26">
        <f t="shared" si="30"/>
        <v>0</v>
      </c>
      <c r="R55" s="26">
        <f t="shared" si="31"/>
        <v>0</v>
      </c>
      <c r="S55" s="26">
        <f t="shared" si="32"/>
        <v>0</v>
      </c>
      <c r="T55" s="26">
        <f t="shared" si="32"/>
        <v>0</v>
      </c>
      <c r="U55" s="42">
        <f t="shared" si="33"/>
        <v>0</v>
      </c>
    </row>
    <row r="56" spans="1:21" ht="19.95" hidden="1" customHeight="1" x14ac:dyDescent="0.3">
      <c r="A56" s="52"/>
      <c r="B56" s="28"/>
      <c r="C56" s="30">
        <v>64076</v>
      </c>
      <c r="D56" s="31" t="s">
        <v>49</v>
      </c>
      <c r="E56" s="43"/>
      <c r="F56" s="27"/>
      <c r="G56" s="27"/>
      <c r="H56" s="44"/>
      <c r="I56" s="49">
        <f>H56*Subsector!$S$11</f>
        <v>0</v>
      </c>
      <c r="J56" s="26">
        <f>H56*Subsector!$S$12</f>
        <v>0</v>
      </c>
      <c r="K56" s="26">
        <f>H56*Subsector!$S$13</f>
        <v>0</v>
      </c>
      <c r="L56" s="26">
        <f>H56*Subsector!$S$15</f>
        <v>0</v>
      </c>
      <c r="M56" s="26">
        <f>H56*Subsector!$S$16</f>
        <v>0</v>
      </c>
      <c r="N56" s="66">
        <f>H56*Subsector!$S$17</f>
        <v>0</v>
      </c>
      <c r="O56" s="41">
        <f t="shared" si="29"/>
        <v>0</v>
      </c>
      <c r="P56" s="26">
        <f t="shared" si="29"/>
        <v>0</v>
      </c>
      <c r="Q56" s="26">
        <f t="shared" si="30"/>
        <v>0</v>
      </c>
      <c r="R56" s="26">
        <f t="shared" si="31"/>
        <v>0</v>
      </c>
      <c r="S56" s="26">
        <f t="shared" si="32"/>
        <v>0</v>
      </c>
      <c r="T56" s="26">
        <f t="shared" si="32"/>
        <v>0</v>
      </c>
      <c r="U56" s="42">
        <f t="shared" si="33"/>
        <v>0</v>
      </c>
    </row>
    <row r="57" spans="1:21" ht="19.95" hidden="1" customHeight="1" x14ac:dyDescent="0.3">
      <c r="A57" s="52"/>
      <c r="B57" s="28"/>
      <c r="C57" s="30">
        <v>64077</v>
      </c>
      <c r="D57" s="31" t="s">
        <v>50</v>
      </c>
      <c r="E57" s="43"/>
      <c r="F57" s="27"/>
      <c r="G57" s="27"/>
      <c r="H57" s="44"/>
      <c r="I57" s="49">
        <f>H57*Subsector!$S$11</f>
        <v>0</v>
      </c>
      <c r="J57" s="26">
        <f>H57*Subsector!$S$12</f>
        <v>0</v>
      </c>
      <c r="K57" s="26">
        <f>H57*Subsector!$S$13</f>
        <v>0</v>
      </c>
      <c r="L57" s="26">
        <f>H57*Subsector!$S$15</f>
        <v>0</v>
      </c>
      <c r="M57" s="26">
        <f>H57*Subsector!$S$16</f>
        <v>0</v>
      </c>
      <c r="N57" s="66">
        <f>H57*Subsector!$S$17</f>
        <v>0</v>
      </c>
      <c r="O57" s="41">
        <f t="shared" si="29"/>
        <v>0</v>
      </c>
      <c r="P57" s="26">
        <f t="shared" si="29"/>
        <v>0</v>
      </c>
      <c r="Q57" s="26">
        <f t="shared" si="30"/>
        <v>0</v>
      </c>
      <c r="R57" s="26">
        <f t="shared" si="31"/>
        <v>0</v>
      </c>
      <c r="S57" s="26">
        <f t="shared" si="32"/>
        <v>0</v>
      </c>
      <c r="T57" s="26">
        <f t="shared" si="32"/>
        <v>0</v>
      </c>
      <c r="U57" s="42">
        <f t="shared" si="33"/>
        <v>0</v>
      </c>
    </row>
    <row r="58" spans="1:21" ht="19.95" hidden="1" customHeight="1" x14ac:dyDescent="0.3">
      <c r="A58" s="52"/>
      <c r="B58" s="28"/>
      <c r="C58" s="30">
        <v>64078</v>
      </c>
      <c r="D58" s="31" t="s">
        <v>87</v>
      </c>
      <c r="E58" s="43"/>
      <c r="F58" s="27"/>
      <c r="G58" s="27"/>
      <c r="H58" s="44"/>
      <c r="I58" s="49">
        <f>H58*Subsector!$S$11</f>
        <v>0</v>
      </c>
      <c r="J58" s="26">
        <f>H58*Subsector!$S$12</f>
        <v>0</v>
      </c>
      <c r="K58" s="26">
        <f>H58*Subsector!$S$13</f>
        <v>0</v>
      </c>
      <c r="L58" s="26">
        <f>H58*Subsector!$S$15</f>
        <v>0</v>
      </c>
      <c r="M58" s="26">
        <f>H58*Subsector!$S$16</f>
        <v>0</v>
      </c>
      <c r="N58" s="66">
        <f>H58*Subsector!$S$17</f>
        <v>0</v>
      </c>
      <c r="O58" s="41">
        <f t="shared" si="29"/>
        <v>0</v>
      </c>
      <c r="P58" s="26">
        <f t="shared" si="29"/>
        <v>0</v>
      </c>
      <c r="Q58" s="26">
        <f t="shared" si="30"/>
        <v>0</v>
      </c>
      <c r="R58" s="26">
        <f t="shared" si="31"/>
        <v>0</v>
      </c>
      <c r="S58" s="26">
        <f t="shared" si="32"/>
        <v>0</v>
      </c>
      <c r="T58" s="26">
        <f t="shared" si="32"/>
        <v>0</v>
      </c>
      <c r="U58" s="42">
        <f t="shared" si="33"/>
        <v>0</v>
      </c>
    </row>
    <row r="59" spans="1:21" ht="19.95" customHeight="1" x14ac:dyDescent="0.3">
      <c r="A59" s="51"/>
      <c r="B59" s="28">
        <v>6498</v>
      </c>
      <c r="C59" s="28"/>
      <c r="D59" s="29" t="s">
        <v>88</v>
      </c>
      <c r="E59" s="39">
        <f>SUM(E60)</f>
        <v>0</v>
      </c>
      <c r="F59" s="22">
        <f t="shared" ref="F59:U59" si="34">SUM(F60)</f>
        <v>6.8</v>
      </c>
      <c r="G59" s="22">
        <f>SUM(G60)</f>
        <v>0.2</v>
      </c>
      <c r="H59" s="40">
        <f t="shared" si="34"/>
        <v>0.7</v>
      </c>
      <c r="I59" s="36">
        <f t="shared" si="34"/>
        <v>2.4816164499886681E-3</v>
      </c>
      <c r="J59" s="22">
        <f t="shared" si="34"/>
        <v>0.42133507682930321</v>
      </c>
      <c r="K59" s="22">
        <f t="shared" si="34"/>
        <v>0.26406149470048423</v>
      </c>
      <c r="L59" s="22">
        <f t="shared" si="34"/>
        <v>8.7886783901141678E-3</v>
      </c>
      <c r="M59" s="22">
        <f t="shared" si="34"/>
        <v>0</v>
      </c>
      <c r="N59" s="65">
        <f t="shared" si="34"/>
        <v>3.3331336301096882E-3</v>
      </c>
      <c r="O59" s="39">
        <f t="shared" si="34"/>
        <v>0.1</v>
      </c>
      <c r="P59" s="22">
        <f t="shared" si="34"/>
        <v>7.3</v>
      </c>
      <c r="Q59" s="22">
        <f t="shared" si="34"/>
        <v>0.30000000000000004</v>
      </c>
      <c r="R59" s="22">
        <f t="shared" si="34"/>
        <v>0.30000000000000004</v>
      </c>
      <c r="S59" s="22">
        <f t="shared" si="34"/>
        <v>0</v>
      </c>
      <c r="T59" s="22">
        <f t="shared" si="34"/>
        <v>0.1</v>
      </c>
      <c r="U59" s="40">
        <f t="shared" si="34"/>
        <v>8.1</v>
      </c>
    </row>
    <row r="60" spans="1:21" ht="19.95" customHeight="1" thickBot="1" x14ac:dyDescent="0.35">
      <c r="A60" s="56"/>
      <c r="B60" s="57"/>
      <c r="C60" s="58">
        <v>64981</v>
      </c>
      <c r="D60" s="59" t="s">
        <v>88</v>
      </c>
      <c r="E60" s="68"/>
      <c r="F60" s="69">
        <v>6.8</v>
      </c>
      <c r="G60" s="69">
        <v>0.2</v>
      </c>
      <c r="H60" s="70">
        <v>0.7</v>
      </c>
      <c r="I60" s="63">
        <f>H60*Subsector!$S$11</f>
        <v>2.4816164499886681E-3</v>
      </c>
      <c r="J60" s="61">
        <f>H60*Subsector!$S$12</f>
        <v>0.42133507682930321</v>
      </c>
      <c r="K60" s="61">
        <f>H60*Subsector!$S$13</f>
        <v>0.26406149470048423</v>
      </c>
      <c r="L60" s="61">
        <f>H60*Subsector!$S$15</f>
        <v>8.7886783901141678E-3</v>
      </c>
      <c r="M60" s="61">
        <f>H60*Subsector!$S$16</f>
        <v>0</v>
      </c>
      <c r="N60" s="67">
        <f>H60*Subsector!$S$17</f>
        <v>3.3331336301096882E-3</v>
      </c>
      <c r="O60" s="60">
        <f>ROUNDUP(SUM(E60,I60),1)</f>
        <v>0.1</v>
      </c>
      <c r="P60" s="61">
        <f>ROUNDUP(SUM(F60,J60),1)</f>
        <v>7.3</v>
      </c>
      <c r="Q60" s="61">
        <f>ROUNDUP(SUM(K60),1)</f>
        <v>0.30000000000000004</v>
      </c>
      <c r="R60" s="61">
        <f>ROUNDUP(SUM(G60,L60),1)</f>
        <v>0.30000000000000004</v>
      </c>
      <c r="S60" s="61">
        <f>ROUNDUP(SUM(M60),1)</f>
        <v>0</v>
      </c>
      <c r="T60" s="61">
        <f>ROUNDUP(SUM(N60),1)</f>
        <v>0.1</v>
      </c>
      <c r="U60" s="62">
        <f>SUM(O60:T60)</f>
        <v>8.1</v>
      </c>
    </row>
  </sheetData>
  <sheetProtection algorithmName="SHA-512" hashValue="uI1uyQYCnZTSgWKHNy5MGkLutyXaapCsAmfQ/u74qDjCVCGDUdkVj4EQl6M5ALrx8CKYfVEECEouK50r+wEpAw==" saltValue="fRo0E1vkE4+YyF5H+zvBuQ==" spinCount="100000" sheet="1" formatCells="0" formatColumns="0" formatRows="0" sort="0" autoFilter="0" pivotTables="0"/>
  <mergeCells count="8">
    <mergeCell ref="A3:U3"/>
    <mergeCell ref="A5:A7"/>
    <mergeCell ref="B5:B7"/>
    <mergeCell ref="C5:C7"/>
    <mergeCell ref="D5:D7"/>
    <mergeCell ref="E5:H5"/>
    <mergeCell ref="I5:N6"/>
    <mergeCell ref="O5:U6"/>
  </mergeCells>
  <pageMargins left="0.11811023622047245" right="0.11811023622047245" top="0.74803149606299213" bottom="0.74803149606299213" header="0.31496062992125984" footer="0.31496062992125984"/>
  <pageSetup paperSize="9" scale="85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EDDE0-8FC6-4DF0-A69D-27616B0F487B}">
  <sheetPr codeName="Sheet5"/>
  <dimension ref="A1:U60"/>
  <sheetViews>
    <sheetView zoomScale="85" zoomScaleNormal="85" workbookViewId="0">
      <selection activeCell="D67" sqref="D67"/>
    </sheetView>
  </sheetViews>
  <sheetFormatPr defaultRowHeight="14.4" x14ac:dyDescent="0.3"/>
  <cols>
    <col min="1" max="1" width="6" customWidth="1"/>
    <col min="2" max="2" width="6.5546875" customWidth="1"/>
    <col min="3" max="3" width="9.44140625" customWidth="1"/>
    <col min="4" max="4" width="35" customWidth="1"/>
    <col min="5" max="5" width="4.6640625" customWidth="1"/>
    <col min="6" max="6" width="7.88671875" customWidth="1"/>
    <col min="7" max="7" width="5.77734375" customWidth="1"/>
    <col min="8" max="8" width="8.21875" customWidth="1"/>
    <col min="9" max="9" width="5.109375" customWidth="1"/>
    <col min="10" max="10" width="5.77734375" customWidth="1"/>
    <col min="11" max="11" width="7.5546875" customWidth="1"/>
    <col min="12" max="12" width="5.5546875" customWidth="1"/>
    <col min="13" max="13" width="4.44140625" customWidth="1"/>
    <col min="14" max="14" width="6.77734375" customWidth="1"/>
    <col min="15" max="15" width="6.33203125" customWidth="1"/>
    <col min="16" max="16" width="8.77734375" customWidth="1"/>
    <col min="17" max="17" width="6.77734375" customWidth="1"/>
    <col min="18" max="18" width="5.77734375" customWidth="1"/>
    <col min="19" max="19" width="5.6640625" customWidth="1"/>
    <col min="20" max="20" width="7.33203125" customWidth="1"/>
    <col min="21" max="21" width="8.77734375" customWidth="1"/>
  </cols>
  <sheetData>
    <row r="1" spans="1:21" ht="21.45" customHeight="1" x14ac:dyDescent="0.3"/>
    <row r="2" spans="1:21" ht="21.45" customHeight="1" x14ac:dyDescent="0.3"/>
    <row r="3" spans="1:21" ht="36.450000000000003" customHeight="1" x14ac:dyDescent="0.3">
      <c r="A3" s="108" t="s">
        <v>104</v>
      </c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</row>
    <row r="4" spans="1:21" ht="21.45" customHeight="1" thickBot="1" x14ac:dyDescent="0.35"/>
    <row r="5" spans="1:21" ht="43.5" customHeight="1" x14ac:dyDescent="0.3">
      <c r="A5" s="123" t="s">
        <v>39</v>
      </c>
      <c r="B5" s="121" t="s">
        <v>40</v>
      </c>
      <c r="C5" s="121" t="s">
        <v>41</v>
      </c>
      <c r="D5" s="119" t="s">
        <v>42</v>
      </c>
      <c r="E5" s="125" t="s">
        <v>99</v>
      </c>
      <c r="F5" s="126"/>
      <c r="G5" s="126"/>
      <c r="H5" s="127"/>
      <c r="I5" s="140" t="s">
        <v>94</v>
      </c>
      <c r="J5" s="141"/>
      <c r="K5" s="141"/>
      <c r="L5" s="141"/>
      <c r="M5" s="141"/>
      <c r="N5" s="142"/>
      <c r="O5" s="134" t="s">
        <v>95</v>
      </c>
      <c r="P5" s="135"/>
      <c r="Q5" s="135"/>
      <c r="R5" s="135"/>
      <c r="S5" s="135"/>
      <c r="T5" s="135"/>
      <c r="U5" s="136"/>
    </row>
    <row r="6" spans="1:21" ht="43.05" customHeight="1" x14ac:dyDescent="0.8">
      <c r="A6" s="124"/>
      <c r="B6" s="122"/>
      <c r="C6" s="122"/>
      <c r="D6" s="120"/>
      <c r="E6" s="45"/>
      <c r="F6" s="46"/>
      <c r="G6" s="46"/>
      <c r="H6" s="47"/>
      <c r="I6" s="143"/>
      <c r="J6" s="144"/>
      <c r="K6" s="144"/>
      <c r="L6" s="144"/>
      <c r="M6" s="144"/>
      <c r="N6" s="145"/>
      <c r="O6" s="137"/>
      <c r="P6" s="138"/>
      <c r="Q6" s="138"/>
      <c r="R6" s="138"/>
      <c r="S6" s="138"/>
      <c r="T6" s="138"/>
      <c r="U6" s="139"/>
    </row>
    <row r="7" spans="1:21" ht="132.44999999999999" customHeight="1" x14ac:dyDescent="0.3">
      <c r="A7" s="124"/>
      <c r="B7" s="122"/>
      <c r="C7" s="122"/>
      <c r="D7" s="120"/>
      <c r="E7" s="146" t="s">
        <v>25</v>
      </c>
      <c r="F7" s="147" t="s">
        <v>26</v>
      </c>
      <c r="G7" s="147" t="s">
        <v>29</v>
      </c>
      <c r="H7" s="148" t="s">
        <v>91</v>
      </c>
      <c r="I7" s="149" t="s">
        <v>25</v>
      </c>
      <c r="J7" s="150" t="s">
        <v>26</v>
      </c>
      <c r="K7" s="150" t="s">
        <v>27</v>
      </c>
      <c r="L7" s="150" t="s">
        <v>29</v>
      </c>
      <c r="M7" s="150" t="s">
        <v>30</v>
      </c>
      <c r="N7" s="151" t="s">
        <v>31</v>
      </c>
      <c r="O7" s="152" t="s">
        <v>25</v>
      </c>
      <c r="P7" s="153" t="s">
        <v>26</v>
      </c>
      <c r="Q7" s="153" t="s">
        <v>27</v>
      </c>
      <c r="R7" s="153" t="s">
        <v>29</v>
      </c>
      <c r="S7" s="153" t="s">
        <v>30</v>
      </c>
      <c r="T7" s="153" t="s">
        <v>31</v>
      </c>
      <c r="U7" s="154" t="s">
        <v>12</v>
      </c>
    </row>
    <row r="8" spans="1:21" ht="19.95" customHeight="1" x14ac:dyDescent="0.3">
      <c r="A8" s="50">
        <v>64</v>
      </c>
      <c r="B8" s="32"/>
      <c r="C8" s="32"/>
      <c r="D8" s="33" t="s">
        <v>43</v>
      </c>
      <c r="E8" s="37">
        <f>SUM(E9,E18,E27,E33,E37,E45,E50,E59)</f>
        <v>0</v>
      </c>
      <c r="F8" s="34">
        <f t="shared" ref="F8:U8" si="0">SUM(F9,F18,F27,F33,F37,F45,F50,F59)</f>
        <v>1966.8999999999999</v>
      </c>
      <c r="G8" s="34">
        <f t="shared" si="0"/>
        <v>20.500000000000004</v>
      </c>
      <c r="H8" s="38">
        <f t="shared" si="0"/>
        <v>125.9</v>
      </c>
      <c r="I8" s="35">
        <f t="shared" si="0"/>
        <v>0.44633644436224756</v>
      </c>
      <c r="J8" s="34">
        <f t="shared" si="0"/>
        <v>75.780123104013271</v>
      </c>
      <c r="K8" s="34">
        <f t="shared" si="0"/>
        <v>47.493345975415679</v>
      </c>
      <c r="L8" s="34">
        <f t="shared" si="0"/>
        <v>1.5807065847362483</v>
      </c>
      <c r="M8" s="34">
        <f t="shared" si="0"/>
        <v>0</v>
      </c>
      <c r="N8" s="64">
        <f t="shared" si="0"/>
        <v>0.59948789147258541</v>
      </c>
      <c r="O8" s="37">
        <f t="shared" si="0"/>
        <v>0.99999999999999989</v>
      </c>
      <c r="P8" s="34">
        <f t="shared" si="0"/>
        <v>2043</v>
      </c>
      <c r="Q8" s="34">
        <f t="shared" si="0"/>
        <v>47.800000000000004</v>
      </c>
      <c r="R8" s="34">
        <f t="shared" si="0"/>
        <v>22.599999999999998</v>
      </c>
      <c r="S8" s="34">
        <f t="shared" si="0"/>
        <v>0</v>
      </c>
      <c r="T8" s="34">
        <f t="shared" si="0"/>
        <v>1.1000000000000001</v>
      </c>
      <c r="U8" s="38">
        <f t="shared" si="0"/>
        <v>2115.5</v>
      </c>
    </row>
    <row r="9" spans="1:21" ht="19.95" hidden="1" customHeight="1" x14ac:dyDescent="0.3">
      <c r="A9" s="51"/>
      <c r="B9" s="23">
        <v>6401</v>
      </c>
      <c r="C9" s="23"/>
      <c r="D9" s="21" t="s">
        <v>90</v>
      </c>
      <c r="E9" s="39">
        <f>SUM(E10:E17)</f>
        <v>0</v>
      </c>
      <c r="F9" s="22">
        <f>SUM(F10:F17)</f>
        <v>0</v>
      </c>
      <c r="G9" s="22">
        <f t="shared" ref="G9:U9" si="1">SUM(G10:G17)</f>
        <v>0</v>
      </c>
      <c r="H9" s="40">
        <f t="shared" si="1"/>
        <v>0</v>
      </c>
      <c r="I9" s="36">
        <f t="shared" si="1"/>
        <v>0</v>
      </c>
      <c r="J9" s="22">
        <f t="shared" si="1"/>
        <v>0</v>
      </c>
      <c r="K9" s="22">
        <f t="shared" si="1"/>
        <v>0</v>
      </c>
      <c r="L9" s="22">
        <f t="shared" si="1"/>
        <v>0</v>
      </c>
      <c r="M9" s="22">
        <f t="shared" si="1"/>
        <v>0</v>
      </c>
      <c r="N9" s="65">
        <f t="shared" si="1"/>
        <v>0</v>
      </c>
      <c r="O9" s="39">
        <f>SUM(O10:O17)</f>
        <v>0</v>
      </c>
      <c r="P9" s="22">
        <f t="shared" si="1"/>
        <v>0</v>
      </c>
      <c r="Q9" s="22">
        <f t="shared" si="1"/>
        <v>0</v>
      </c>
      <c r="R9" s="22">
        <f t="shared" si="1"/>
        <v>0</v>
      </c>
      <c r="S9" s="22">
        <f t="shared" si="1"/>
        <v>0</v>
      </c>
      <c r="T9" s="22">
        <f t="shared" si="1"/>
        <v>0</v>
      </c>
      <c r="U9" s="40">
        <f t="shared" si="1"/>
        <v>0</v>
      </c>
    </row>
    <row r="10" spans="1:21" ht="19.95" hidden="1" customHeight="1" x14ac:dyDescent="0.3">
      <c r="A10" s="52"/>
      <c r="B10" s="24"/>
      <c r="C10" s="24">
        <v>64011</v>
      </c>
      <c r="D10" s="25" t="s">
        <v>44</v>
      </c>
      <c r="E10" s="43"/>
      <c r="F10" s="27"/>
      <c r="G10" s="27"/>
      <c r="H10" s="44"/>
      <c r="I10" s="49">
        <f>H10*Subsector!$S$11</f>
        <v>0</v>
      </c>
      <c r="J10" s="26">
        <f>H10*Subsector!$S$12</f>
        <v>0</v>
      </c>
      <c r="K10" s="26">
        <f>H10*Subsector!$S$13</f>
        <v>0</v>
      </c>
      <c r="L10" s="26">
        <f>H10*Subsector!$S$15</f>
        <v>0</v>
      </c>
      <c r="M10" s="26">
        <f>H10*Subsector!$S$16</f>
        <v>0</v>
      </c>
      <c r="N10" s="66">
        <f>H10*Subsector!$S$17</f>
        <v>0</v>
      </c>
      <c r="O10" s="41">
        <f t="shared" ref="O10:P17" si="2">ROUNDUP(SUM(E10,I10),1)</f>
        <v>0</v>
      </c>
      <c r="P10" s="26">
        <f t="shared" si="2"/>
        <v>0</v>
      </c>
      <c r="Q10" s="26">
        <f t="shared" ref="Q10:Q17" si="3">ROUNDUP(SUM(K10),1)</f>
        <v>0</v>
      </c>
      <c r="R10" s="26">
        <f t="shared" ref="R10:R17" si="4">ROUNDUP(SUM(G10,L10),1)</f>
        <v>0</v>
      </c>
      <c r="S10" s="26">
        <f t="shared" ref="S10:T17" si="5">ROUNDUP(SUM(M10),1)</f>
        <v>0</v>
      </c>
      <c r="T10" s="26">
        <f t="shared" si="5"/>
        <v>0</v>
      </c>
      <c r="U10" s="42">
        <f t="shared" ref="U10:U17" si="6">SUM(O10:T10)</f>
        <v>0</v>
      </c>
    </row>
    <row r="11" spans="1:21" ht="19.95" hidden="1" customHeight="1" x14ac:dyDescent="0.3">
      <c r="A11" s="52"/>
      <c r="B11" s="24"/>
      <c r="C11" s="24">
        <v>64012</v>
      </c>
      <c r="D11" s="25" t="s">
        <v>89</v>
      </c>
      <c r="E11" s="43"/>
      <c r="F11" s="27"/>
      <c r="G11" s="27"/>
      <c r="H11" s="44"/>
      <c r="I11" s="49">
        <f>H11*Subsector!$S$11</f>
        <v>0</v>
      </c>
      <c r="J11" s="26">
        <f>H11*Subsector!$S$12</f>
        <v>0</v>
      </c>
      <c r="K11" s="26">
        <f>H11*Subsector!$S$13</f>
        <v>0</v>
      </c>
      <c r="L11" s="26">
        <f>H11*Subsector!$S$15</f>
        <v>0</v>
      </c>
      <c r="M11" s="26">
        <f>H11*Subsector!$S$16</f>
        <v>0</v>
      </c>
      <c r="N11" s="66">
        <f>H11*Subsector!$S$17</f>
        <v>0</v>
      </c>
      <c r="O11" s="41">
        <f t="shared" si="2"/>
        <v>0</v>
      </c>
      <c r="P11" s="26">
        <f t="shared" si="2"/>
        <v>0</v>
      </c>
      <c r="Q11" s="26">
        <f t="shared" si="3"/>
        <v>0</v>
      </c>
      <c r="R11" s="26">
        <f t="shared" si="4"/>
        <v>0</v>
      </c>
      <c r="S11" s="26">
        <f t="shared" si="5"/>
        <v>0</v>
      </c>
      <c r="T11" s="26">
        <f t="shared" si="5"/>
        <v>0</v>
      </c>
      <c r="U11" s="42">
        <f t="shared" si="6"/>
        <v>0</v>
      </c>
    </row>
    <row r="12" spans="1:21" ht="19.95" hidden="1" customHeight="1" x14ac:dyDescent="0.3">
      <c r="A12" s="52"/>
      <c r="B12" s="24"/>
      <c r="C12" s="24">
        <v>64013</v>
      </c>
      <c r="D12" s="25" t="s">
        <v>45</v>
      </c>
      <c r="E12" s="43">
        <v>0</v>
      </c>
      <c r="F12" s="27">
        <v>0</v>
      </c>
      <c r="G12" s="27">
        <v>0</v>
      </c>
      <c r="H12" s="44">
        <v>0</v>
      </c>
      <c r="I12" s="49">
        <f>H12*Subsector!$S$11</f>
        <v>0</v>
      </c>
      <c r="J12" s="26">
        <f>H12*Subsector!$S$12</f>
        <v>0</v>
      </c>
      <c r="K12" s="26">
        <f>H12*Subsector!$S$13</f>
        <v>0</v>
      </c>
      <c r="L12" s="26">
        <f>H12*Subsector!$S$15</f>
        <v>0</v>
      </c>
      <c r="M12" s="26">
        <f>H12*Subsector!$S$16</f>
        <v>0</v>
      </c>
      <c r="N12" s="66">
        <f>H12*Subsector!$S$17</f>
        <v>0</v>
      </c>
      <c r="O12" s="41">
        <f t="shared" si="2"/>
        <v>0</v>
      </c>
      <c r="P12" s="26">
        <f t="shared" si="2"/>
        <v>0</v>
      </c>
      <c r="Q12" s="26">
        <f t="shared" si="3"/>
        <v>0</v>
      </c>
      <c r="R12" s="26">
        <f t="shared" si="4"/>
        <v>0</v>
      </c>
      <c r="S12" s="26">
        <f t="shared" si="5"/>
        <v>0</v>
      </c>
      <c r="T12" s="26">
        <f t="shared" si="5"/>
        <v>0</v>
      </c>
      <c r="U12" s="42">
        <f t="shared" si="6"/>
        <v>0</v>
      </c>
    </row>
    <row r="13" spans="1:21" ht="19.95" hidden="1" customHeight="1" x14ac:dyDescent="0.3">
      <c r="A13" s="52"/>
      <c r="B13" s="24"/>
      <c r="C13" s="24">
        <v>64014</v>
      </c>
      <c r="D13" s="25" t="s">
        <v>46</v>
      </c>
      <c r="E13" s="43">
        <v>0</v>
      </c>
      <c r="F13" s="27">
        <v>0</v>
      </c>
      <c r="G13" s="27">
        <v>0</v>
      </c>
      <c r="H13" s="44">
        <v>0</v>
      </c>
      <c r="I13" s="49">
        <f>H13*Subsector!$S$11</f>
        <v>0</v>
      </c>
      <c r="J13" s="26">
        <f>H13*Subsector!$S$12</f>
        <v>0</v>
      </c>
      <c r="K13" s="26">
        <f>H13*Subsector!$S$13</f>
        <v>0</v>
      </c>
      <c r="L13" s="26">
        <f>H13*Subsector!$S$15</f>
        <v>0</v>
      </c>
      <c r="M13" s="26">
        <f>H13*Subsector!$S$16</f>
        <v>0</v>
      </c>
      <c r="N13" s="66">
        <f>H13*Subsector!$S$17</f>
        <v>0</v>
      </c>
      <c r="O13" s="41">
        <f t="shared" si="2"/>
        <v>0</v>
      </c>
      <c r="P13" s="26">
        <f t="shared" si="2"/>
        <v>0</v>
      </c>
      <c r="Q13" s="26">
        <f t="shared" si="3"/>
        <v>0</v>
      </c>
      <c r="R13" s="26">
        <f t="shared" si="4"/>
        <v>0</v>
      </c>
      <c r="S13" s="26">
        <f t="shared" si="5"/>
        <v>0</v>
      </c>
      <c r="T13" s="26">
        <f t="shared" si="5"/>
        <v>0</v>
      </c>
      <c r="U13" s="42">
        <f t="shared" si="6"/>
        <v>0</v>
      </c>
    </row>
    <row r="14" spans="1:21" ht="19.95" hidden="1" customHeight="1" x14ac:dyDescent="0.3">
      <c r="A14" s="52"/>
      <c r="B14" s="24"/>
      <c r="C14" s="24">
        <v>64015</v>
      </c>
      <c r="D14" s="25" t="s">
        <v>47</v>
      </c>
      <c r="E14" s="43"/>
      <c r="F14" s="27"/>
      <c r="G14" s="27"/>
      <c r="H14" s="44"/>
      <c r="I14" s="49">
        <f>H14*Subsector!$S$11</f>
        <v>0</v>
      </c>
      <c r="J14" s="26">
        <f>H14*Subsector!$S$12</f>
        <v>0</v>
      </c>
      <c r="K14" s="26">
        <f>H14*Subsector!$S$13</f>
        <v>0</v>
      </c>
      <c r="L14" s="26">
        <f>H14*Subsector!$S$15</f>
        <v>0</v>
      </c>
      <c r="M14" s="26">
        <f>H14*Subsector!$S$16</f>
        <v>0</v>
      </c>
      <c r="N14" s="66">
        <f>H14*Subsector!$S$17</f>
        <v>0</v>
      </c>
      <c r="O14" s="41">
        <f t="shared" si="2"/>
        <v>0</v>
      </c>
      <c r="P14" s="26">
        <f t="shared" si="2"/>
        <v>0</v>
      </c>
      <c r="Q14" s="26">
        <f t="shared" si="3"/>
        <v>0</v>
      </c>
      <c r="R14" s="26">
        <f t="shared" si="4"/>
        <v>0</v>
      </c>
      <c r="S14" s="26">
        <f t="shared" si="5"/>
        <v>0</v>
      </c>
      <c r="T14" s="26">
        <f t="shared" si="5"/>
        <v>0</v>
      </c>
      <c r="U14" s="42">
        <f t="shared" si="6"/>
        <v>0</v>
      </c>
    </row>
    <row r="15" spans="1:21" ht="19.95" hidden="1" customHeight="1" x14ac:dyDescent="0.3">
      <c r="A15" s="52"/>
      <c r="B15" s="24"/>
      <c r="C15" s="24">
        <v>64016</v>
      </c>
      <c r="D15" s="25" t="s">
        <v>48</v>
      </c>
      <c r="E15" s="43"/>
      <c r="F15" s="27"/>
      <c r="G15" s="27"/>
      <c r="H15" s="44"/>
      <c r="I15" s="49">
        <f>H15*Subsector!$S$11</f>
        <v>0</v>
      </c>
      <c r="J15" s="26">
        <f>H15*Subsector!$S$12</f>
        <v>0</v>
      </c>
      <c r="K15" s="26">
        <f>H15*Subsector!$S$13</f>
        <v>0</v>
      </c>
      <c r="L15" s="26">
        <f>H15*Subsector!$S$15</f>
        <v>0</v>
      </c>
      <c r="M15" s="26">
        <f>H15*Subsector!$S$16</f>
        <v>0</v>
      </c>
      <c r="N15" s="66">
        <f>H15*Subsector!$S$17</f>
        <v>0</v>
      </c>
      <c r="O15" s="41">
        <f t="shared" si="2"/>
        <v>0</v>
      </c>
      <c r="P15" s="26">
        <f t="shared" si="2"/>
        <v>0</v>
      </c>
      <c r="Q15" s="26">
        <f t="shared" si="3"/>
        <v>0</v>
      </c>
      <c r="R15" s="26">
        <f t="shared" si="4"/>
        <v>0</v>
      </c>
      <c r="S15" s="26">
        <f t="shared" si="5"/>
        <v>0</v>
      </c>
      <c r="T15" s="26">
        <f t="shared" si="5"/>
        <v>0</v>
      </c>
      <c r="U15" s="42">
        <f t="shared" si="6"/>
        <v>0</v>
      </c>
    </row>
    <row r="16" spans="1:21" ht="19.95" hidden="1" customHeight="1" x14ac:dyDescent="0.3">
      <c r="A16" s="52"/>
      <c r="B16" s="24"/>
      <c r="C16" s="24">
        <v>64017</v>
      </c>
      <c r="D16" s="25" t="s">
        <v>49</v>
      </c>
      <c r="E16" s="43"/>
      <c r="F16" s="27"/>
      <c r="G16" s="27"/>
      <c r="H16" s="44"/>
      <c r="I16" s="49">
        <f>H16*Subsector!$S$11</f>
        <v>0</v>
      </c>
      <c r="J16" s="26">
        <f>H16*Subsector!$S$12</f>
        <v>0</v>
      </c>
      <c r="K16" s="26">
        <f>H16*Subsector!$S$13</f>
        <v>0</v>
      </c>
      <c r="L16" s="26">
        <f>H16*Subsector!$S$15</f>
        <v>0</v>
      </c>
      <c r="M16" s="26">
        <f>H16*Subsector!$S$16</f>
        <v>0</v>
      </c>
      <c r="N16" s="66">
        <f>H16*Subsector!$S$17</f>
        <v>0</v>
      </c>
      <c r="O16" s="41">
        <f t="shared" si="2"/>
        <v>0</v>
      </c>
      <c r="P16" s="26">
        <f t="shared" si="2"/>
        <v>0</v>
      </c>
      <c r="Q16" s="26">
        <f t="shared" si="3"/>
        <v>0</v>
      </c>
      <c r="R16" s="26">
        <f t="shared" si="4"/>
        <v>0</v>
      </c>
      <c r="S16" s="26">
        <f t="shared" si="5"/>
        <v>0</v>
      </c>
      <c r="T16" s="26">
        <f t="shared" si="5"/>
        <v>0</v>
      </c>
      <c r="U16" s="42">
        <f t="shared" si="6"/>
        <v>0</v>
      </c>
    </row>
    <row r="17" spans="1:21" ht="19.95" hidden="1" customHeight="1" x14ac:dyDescent="0.3">
      <c r="A17" s="52"/>
      <c r="B17" s="24"/>
      <c r="C17" s="24">
        <v>64018</v>
      </c>
      <c r="D17" s="25" t="s">
        <v>50</v>
      </c>
      <c r="E17" s="43"/>
      <c r="F17" s="27"/>
      <c r="G17" s="27"/>
      <c r="H17" s="44"/>
      <c r="I17" s="49">
        <f>H17*Subsector!$S$11</f>
        <v>0</v>
      </c>
      <c r="J17" s="26">
        <f>H17*Subsector!$S$12</f>
        <v>0</v>
      </c>
      <c r="K17" s="26">
        <f>H17*Subsector!$S$13</f>
        <v>0</v>
      </c>
      <c r="L17" s="26">
        <f>H17*Subsector!$S$15</f>
        <v>0</v>
      </c>
      <c r="M17" s="26">
        <f>H17*Subsector!$S$16</f>
        <v>0</v>
      </c>
      <c r="N17" s="66">
        <f>H17*Subsector!$S$17</f>
        <v>0</v>
      </c>
      <c r="O17" s="41">
        <f t="shared" si="2"/>
        <v>0</v>
      </c>
      <c r="P17" s="26">
        <f t="shared" si="2"/>
        <v>0</v>
      </c>
      <c r="Q17" s="26">
        <f t="shared" si="3"/>
        <v>0</v>
      </c>
      <c r="R17" s="26">
        <f t="shared" si="4"/>
        <v>0</v>
      </c>
      <c r="S17" s="26">
        <f t="shared" si="5"/>
        <v>0</v>
      </c>
      <c r="T17" s="26">
        <f t="shared" si="5"/>
        <v>0</v>
      </c>
      <c r="U17" s="42">
        <f t="shared" si="6"/>
        <v>0</v>
      </c>
    </row>
    <row r="18" spans="1:21" ht="19.95" customHeight="1" x14ac:dyDescent="0.3">
      <c r="A18" s="51"/>
      <c r="B18" s="23">
        <v>6402</v>
      </c>
      <c r="C18" s="23"/>
      <c r="D18" s="21" t="s">
        <v>51</v>
      </c>
      <c r="E18" s="39">
        <f>SUM(E19:E26)</f>
        <v>0</v>
      </c>
      <c r="F18" s="22">
        <f t="shared" ref="F18:U18" si="7">SUM(F19:F26)</f>
        <v>1904.1</v>
      </c>
      <c r="G18" s="22">
        <f t="shared" si="7"/>
        <v>0</v>
      </c>
      <c r="H18" s="40">
        <f t="shared" si="7"/>
        <v>115.9</v>
      </c>
      <c r="I18" s="36">
        <f t="shared" si="7"/>
        <v>0.4108847807909809</v>
      </c>
      <c r="J18" s="22">
        <f t="shared" si="7"/>
        <v>69.761050577880368</v>
      </c>
      <c r="K18" s="22">
        <f t="shared" si="7"/>
        <v>43.721038908265896</v>
      </c>
      <c r="L18" s="22">
        <f t="shared" si="7"/>
        <v>1.4551540363060458</v>
      </c>
      <c r="M18" s="22">
        <f t="shared" si="7"/>
        <v>0</v>
      </c>
      <c r="N18" s="65">
        <f t="shared" si="7"/>
        <v>0.55187169675673264</v>
      </c>
      <c r="O18" s="39">
        <f t="shared" si="7"/>
        <v>0.6</v>
      </c>
      <c r="P18" s="22">
        <f t="shared" si="7"/>
        <v>1974</v>
      </c>
      <c r="Q18" s="22">
        <f t="shared" si="7"/>
        <v>43.8</v>
      </c>
      <c r="R18" s="22">
        <f t="shared" si="7"/>
        <v>1.6</v>
      </c>
      <c r="S18" s="22">
        <f t="shared" si="7"/>
        <v>0</v>
      </c>
      <c r="T18" s="22">
        <f t="shared" si="7"/>
        <v>0.70000000000000007</v>
      </c>
      <c r="U18" s="40">
        <f t="shared" si="7"/>
        <v>2020.6999999999998</v>
      </c>
    </row>
    <row r="19" spans="1:21" ht="19.95" customHeight="1" x14ac:dyDescent="0.3">
      <c r="A19" s="52"/>
      <c r="B19" s="24"/>
      <c r="C19" s="24">
        <v>64021</v>
      </c>
      <c r="D19" s="25" t="s">
        <v>52</v>
      </c>
      <c r="E19" s="43"/>
      <c r="F19" s="27">
        <v>684.2</v>
      </c>
      <c r="G19" s="27">
        <v>0</v>
      </c>
      <c r="H19" s="44">
        <v>59</v>
      </c>
      <c r="I19" s="49">
        <f>H19*Subsector!$S$11</f>
        <v>0.20916481507047346</v>
      </c>
      <c r="J19" s="26">
        <f>H19*Subsector!$S$12</f>
        <v>35.512527904184132</v>
      </c>
      <c r="K19" s="26">
        <f>H19*Subsector!$S$13</f>
        <v>22.256611696183672</v>
      </c>
      <c r="L19" s="26">
        <f>H19*Subsector!$S$15</f>
        <v>0.74076003573819416</v>
      </c>
      <c r="M19" s="26">
        <f>H19*Subsector!$S$16</f>
        <v>0</v>
      </c>
      <c r="N19" s="66">
        <f>H19*Subsector!$S$17</f>
        <v>0.28093554882353089</v>
      </c>
      <c r="O19" s="41">
        <f t="shared" ref="O19:P26" si="8">ROUNDUP(SUM(E19,I19),1)</f>
        <v>0.30000000000000004</v>
      </c>
      <c r="P19" s="26">
        <f t="shared" si="8"/>
        <v>719.80000000000007</v>
      </c>
      <c r="Q19" s="26">
        <f t="shared" ref="Q19:Q26" si="9">ROUNDUP(SUM(K19),1)</f>
        <v>22.3</v>
      </c>
      <c r="R19" s="26">
        <f t="shared" ref="R19:R26" si="10">ROUNDUP(SUM(G19,L19),1)</f>
        <v>0.79999999999999993</v>
      </c>
      <c r="S19" s="26">
        <f t="shared" ref="S19:T26" si="11">ROUNDUP(SUM(M19),1)</f>
        <v>0</v>
      </c>
      <c r="T19" s="26">
        <f t="shared" si="11"/>
        <v>0.30000000000000004</v>
      </c>
      <c r="U19" s="42">
        <f t="shared" ref="U19:U26" si="12">SUM(O19:T19)</f>
        <v>743.49999999999989</v>
      </c>
    </row>
    <row r="20" spans="1:21" ht="19.95" customHeight="1" x14ac:dyDescent="0.3">
      <c r="A20" s="52"/>
      <c r="B20" s="24"/>
      <c r="C20" s="24">
        <v>64022</v>
      </c>
      <c r="D20" s="25" t="s">
        <v>53</v>
      </c>
      <c r="E20" s="43"/>
      <c r="F20" s="27">
        <v>708.9</v>
      </c>
      <c r="G20" s="27">
        <v>0</v>
      </c>
      <c r="H20" s="44">
        <v>49.5</v>
      </c>
      <c r="I20" s="49">
        <f>H20*Subsector!$S$11</f>
        <v>0.17548573467777009</v>
      </c>
      <c r="J20" s="26">
        <f>H20*Subsector!$S$12</f>
        <v>29.794409004357874</v>
      </c>
      <c r="K20" s="26">
        <f>H20*Subsector!$S$13</f>
        <v>18.672919982391385</v>
      </c>
      <c r="L20" s="26">
        <f>H20*Subsector!$S$15</f>
        <v>0.62148511472950185</v>
      </c>
      <c r="M20" s="26">
        <f>H20*Subsector!$S$16</f>
        <v>0</v>
      </c>
      <c r="N20" s="66">
        <f>H20*Subsector!$S$17</f>
        <v>0.23570016384347081</v>
      </c>
      <c r="O20" s="41">
        <f t="shared" si="8"/>
        <v>0.2</v>
      </c>
      <c r="P20" s="26">
        <f t="shared" si="8"/>
        <v>738.7</v>
      </c>
      <c r="Q20" s="26">
        <f t="shared" si="9"/>
        <v>18.700000000000003</v>
      </c>
      <c r="R20" s="26">
        <f t="shared" si="10"/>
        <v>0.7</v>
      </c>
      <c r="S20" s="26">
        <f t="shared" si="11"/>
        <v>0</v>
      </c>
      <c r="T20" s="26">
        <f t="shared" si="11"/>
        <v>0.30000000000000004</v>
      </c>
      <c r="U20" s="42">
        <f t="shared" si="12"/>
        <v>758.60000000000014</v>
      </c>
    </row>
    <row r="21" spans="1:21" ht="19.95" customHeight="1" x14ac:dyDescent="0.3">
      <c r="A21" s="52"/>
      <c r="B21" s="24"/>
      <c r="C21" s="24">
        <v>64023</v>
      </c>
      <c r="D21" s="25" t="s">
        <v>54</v>
      </c>
      <c r="E21" s="43"/>
      <c r="F21" s="27">
        <v>395</v>
      </c>
      <c r="G21" s="27">
        <v>0</v>
      </c>
      <c r="H21" s="44">
        <v>0</v>
      </c>
      <c r="I21" s="49">
        <f>H21*Subsector!$S$11</f>
        <v>0</v>
      </c>
      <c r="J21" s="26">
        <f>H21*Subsector!$S$12</f>
        <v>0</v>
      </c>
      <c r="K21" s="26">
        <f>H21*Subsector!$S$13</f>
        <v>0</v>
      </c>
      <c r="L21" s="26">
        <f>H21*Subsector!$S$15</f>
        <v>0</v>
      </c>
      <c r="M21" s="26">
        <f>H21*Subsector!$S$16</f>
        <v>0</v>
      </c>
      <c r="N21" s="66">
        <f>H21*Subsector!$S$17</f>
        <v>0</v>
      </c>
      <c r="O21" s="41">
        <f t="shared" si="8"/>
        <v>0</v>
      </c>
      <c r="P21" s="26">
        <f t="shared" si="8"/>
        <v>395</v>
      </c>
      <c r="Q21" s="26">
        <f t="shared" si="9"/>
        <v>0</v>
      </c>
      <c r="R21" s="26">
        <f t="shared" si="10"/>
        <v>0</v>
      </c>
      <c r="S21" s="26">
        <f t="shared" si="11"/>
        <v>0</v>
      </c>
      <c r="T21" s="26">
        <f t="shared" si="11"/>
        <v>0</v>
      </c>
      <c r="U21" s="42">
        <f t="shared" si="12"/>
        <v>395</v>
      </c>
    </row>
    <row r="22" spans="1:21" ht="19.95" hidden="1" customHeight="1" x14ac:dyDescent="0.3">
      <c r="A22" s="52"/>
      <c r="B22" s="24"/>
      <c r="C22" s="24">
        <v>64024</v>
      </c>
      <c r="D22" s="25" t="s">
        <v>55</v>
      </c>
      <c r="E22" s="43"/>
      <c r="F22" s="27"/>
      <c r="G22" s="27"/>
      <c r="H22" s="44"/>
      <c r="I22" s="49">
        <f>H22*Subsector!$S$11</f>
        <v>0</v>
      </c>
      <c r="J22" s="26">
        <f>H22*Subsector!$S$12</f>
        <v>0</v>
      </c>
      <c r="K22" s="26">
        <f>H22*Subsector!$S$13</f>
        <v>0</v>
      </c>
      <c r="L22" s="26">
        <f>H22*Subsector!$S$15</f>
        <v>0</v>
      </c>
      <c r="M22" s="26">
        <f>H22*Subsector!$S$16</f>
        <v>0</v>
      </c>
      <c r="N22" s="66">
        <f>H22*Subsector!$S$17</f>
        <v>0</v>
      </c>
      <c r="O22" s="41">
        <f t="shared" si="8"/>
        <v>0</v>
      </c>
      <c r="P22" s="26">
        <f t="shared" si="8"/>
        <v>0</v>
      </c>
      <c r="Q22" s="26">
        <f t="shared" si="9"/>
        <v>0</v>
      </c>
      <c r="R22" s="26">
        <f t="shared" si="10"/>
        <v>0</v>
      </c>
      <c r="S22" s="26">
        <f t="shared" si="11"/>
        <v>0</v>
      </c>
      <c r="T22" s="26">
        <f t="shared" si="11"/>
        <v>0</v>
      </c>
      <c r="U22" s="42">
        <f t="shared" si="12"/>
        <v>0</v>
      </c>
    </row>
    <row r="23" spans="1:21" ht="19.95" hidden="1" customHeight="1" x14ac:dyDescent="0.3">
      <c r="A23" s="52"/>
      <c r="B23" s="24"/>
      <c r="C23" s="24">
        <v>64025</v>
      </c>
      <c r="D23" s="25" t="s">
        <v>56</v>
      </c>
      <c r="E23" s="43"/>
      <c r="F23" s="27"/>
      <c r="G23" s="27"/>
      <c r="H23" s="44"/>
      <c r="I23" s="49">
        <f>H23*Subsector!$S$11</f>
        <v>0</v>
      </c>
      <c r="J23" s="26">
        <f>H23*Subsector!$S$12</f>
        <v>0</v>
      </c>
      <c r="K23" s="26">
        <f>H23*Subsector!$S$13</f>
        <v>0</v>
      </c>
      <c r="L23" s="26">
        <f>H23*Subsector!$S$15</f>
        <v>0</v>
      </c>
      <c r="M23" s="26">
        <f>H23*Subsector!$S$16</f>
        <v>0</v>
      </c>
      <c r="N23" s="66">
        <f>H23*Subsector!$S$17</f>
        <v>0</v>
      </c>
      <c r="O23" s="41">
        <f t="shared" si="8"/>
        <v>0</v>
      </c>
      <c r="P23" s="26">
        <f t="shared" si="8"/>
        <v>0</v>
      </c>
      <c r="Q23" s="26">
        <f t="shared" si="9"/>
        <v>0</v>
      </c>
      <c r="R23" s="26">
        <f t="shared" si="10"/>
        <v>0</v>
      </c>
      <c r="S23" s="26">
        <f t="shared" si="11"/>
        <v>0</v>
      </c>
      <c r="T23" s="26">
        <f t="shared" si="11"/>
        <v>0</v>
      </c>
      <c r="U23" s="42">
        <f t="shared" si="12"/>
        <v>0</v>
      </c>
    </row>
    <row r="24" spans="1:21" ht="19.95" customHeight="1" x14ac:dyDescent="0.3">
      <c r="A24" s="52"/>
      <c r="B24" s="24"/>
      <c r="C24" s="24">
        <v>64026</v>
      </c>
      <c r="D24" s="25" t="s">
        <v>57</v>
      </c>
      <c r="E24" s="43"/>
      <c r="F24" s="27">
        <v>116</v>
      </c>
      <c r="G24" s="27">
        <v>0</v>
      </c>
      <c r="H24" s="44">
        <v>7.3999999999999995</v>
      </c>
      <c r="I24" s="49">
        <f>H24*Subsector!$S$11</f>
        <v>2.6234231042737345E-2</v>
      </c>
      <c r="J24" s="26">
        <f>H24*Subsector!$S$12</f>
        <v>4.4541136693383487</v>
      </c>
      <c r="K24" s="26">
        <f>H24*Subsector!$S$13</f>
        <v>2.7915072296908332</v>
      </c>
      <c r="L24" s="26">
        <f>H24*Subsector!$S$15</f>
        <v>9.2908885838349775E-2</v>
      </c>
      <c r="M24" s="26">
        <f>H24*Subsector!$S$16</f>
        <v>0</v>
      </c>
      <c r="N24" s="66">
        <f>H24*Subsector!$S$17</f>
        <v>3.5235984089730991E-2</v>
      </c>
      <c r="O24" s="41">
        <f t="shared" si="8"/>
        <v>0.1</v>
      </c>
      <c r="P24" s="26">
        <f t="shared" si="8"/>
        <v>120.5</v>
      </c>
      <c r="Q24" s="26">
        <f t="shared" si="9"/>
        <v>2.8000000000000003</v>
      </c>
      <c r="R24" s="26">
        <f t="shared" si="10"/>
        <v>0.1</v>
      </c>
      <c r="S24" s="26">
        <f t="shared" si="11"/>
        <v>0</v>
      </c>
      <c r="T24" s="26">
        <f t="shared" si="11"/>
        <v>0.1</v>
      </c>
      <c r="U24" s="42">
        <f t="shared" si="12"/>
        <v>123.59999999999998</v>
      </c>
    </row>
    <row r="25" spans="1:21" ht="19.95" hidden="1" customHeight="1" x14ac:dyDescent="0.3">
      <c r="A25" s="52"/>
      <c r="B25" s="24"/>
      <c r="C25" s="24">
        <v>64027</v>
      </c>
      <c r="D25" s="25" t="s">
        <v>58</v>
      </c>
      <c r="E25" s="43"/>
      <c r="F25" s="27"/>
      <c r="G25" s="27"/>
      <c r="H25" s="44"/>
      <c r="I25" s="49">
        <f>H25*Subsector!$S$11</f>
        <v>0</v>
      </c>
      <c r="J25" s="26">
        <f>H25*Subsector!$S$12</f>
        <v>0</v>
      </c>
      <c r="K25" s="26">
        <f>H25*Subsector!$S$13</f>
        <v>0</v>
      </c>
      <c r="L25" s="26">
        <f>H25*Subsector!$S$15</f>
        <v>0</v>
      </c>
      <c r="M25" s="26">
        <f>H25*Subsector!$S$16</f>
        <v>0</v>
      </c>
      <c r="N25" s="66">
        <f>H25*Subsector!$S$17</f>
        <v>0</v>
      </c>
      <c r="O25" s="41">
        <f t="shared" si="8"/>
        <v>0</v>
      </c>
      <c r="P25" s="26">
        <f t="shared" si="8"/>
        <v>0</v>
      </c>
      <c r="Q25" s="26">
        <f t="shared" si="9"/>
        <v>0</v>
      </c>
      <c r="R25" s="26">
        <f t="shared" si="10"/>
        <v>0</v>
      </c>
      <c r="S25" s="26">
        <f t="shared" si="11"/>
        <v>0</v>
      </c>
      <c r="T25" s="26">
        <f t="shared" si="11"/>
        <v>0</v>
      </c>
      <c r="U25" s="42">
        <f t="shared" si="12"/>
        <v>0</v>
      </c>
    </row>
    <row r="26" spans="1:21" ht="19.95" hidden="1" customHeight="1" x14ac:dyDescent="0.3">
      <c r="A26" s="52"/>
      <c r="B26" s="24"/>
      <c r="C26" s="24">
        <v>64028</v>
      </c>
      <c r="D26" s="25" t="s">
        <v>59</v>
      </c>
      <c r="E26" s="43"/>
      <c r="F26" s="27"/>
      <c r="G26" s="27"/>
      <c r="H26" s="44"/>
      <c r="I26" s="49">
        <f>H26*Subsector!$S$11</f>
        <v>0</v>
      </c>
      <c r="J26" s="26">
        <f>H26*Subsector!$S$12</f>
        <v>0</v>
      </c>
      <c r="K26" s="26">
        <f>H26*Subsector!$S$13</f>
        <v>0</v>
      </c>
      <c r="L26" s="26">
        <f>H26*Subsector!$S$15</f>
        <v>0</v>
      </c>
      <c r="M26" s="26">
        <f>H26*Subsector!$S$16</f>
        <v>0</v>
      </c>
      <c r="N26" s="66">
        <f>H26*Subsector!$S$17</f>
        <v>0</v>
      </c>
      <c r="O26" s="41">
        <f t="shared" si="8"/>
        <v>0</v>
      </c>
      <c r="P26" s="26">
        <f t="shared" si="8"/>
        <v>0</v>
      </c>
      <c r="Q26" s="26">
        <f t="shared" si="9"/>
        <v>0</v>
      </c>
      <c r="R26" s="26">
        <f t="shared" si="10"/>
        <v>0</v>
      </c>
      <c r="S26" s="26">
        <f t="shared" si="11"/>
        <v>0</v>
      </c>
      <c r="T26" s="26">
        <f t="shared" si="11"/>
        <v>0</v>
      </c>
      <c r="U26" s="42">
        <f t="shared" si="12"/>
        <v>0</v>
      </c>
    </row>
    <row r="27" spans="1:21" ht="19.95" hidden="1" customHeight="1" x14ac:dyDescent="0.3">
      <c r="A27" s="51"/>
      <c r="B27" s="23">
        <v>6403</v>
      </c>
      <c r="C27" s="23"/>
      <c r="D27" s="21" t="s">
        <v>60</v>
      </c>
      <c r="E27" s="39">
        <f>SUM(E28:E32)</f>
        <v>0</v>
      </c>
      <c r="F27" s="22">
        <f t="shared" ref="F27:U27" si="13">SUM(F28:F32)</f>
        <v>0</v>
      </c>
      <c r="G27" s="22">
        <f t="shared" si="13"/>
        <v>0</v>
      </c>
      <c r="H27" s="40">
        <f t="shared" si="13"/>
        <v>0</v>
      </c>
      <c r="I27" s="36">
        <f t="shared" si="13"/>
        <v>0</v>
      </c>
      <c r="J27" s="22">
        <f t="shared" si="13"/>
        <v>0</v>
      </c>
      <c r="K27" s="22">
        <f t="shared" si="13"/>
        <v>0</v>
      </c>
      <c r="L27" s="22">
        <f t="shared" si="13"/>
        <v>0</v>
      </c>
      <c r="M27" s="22">
        <f t="shared" si="13"/>
        <v>0</v>
      </c>
      <c r="N27" s="65">
        <f t="shared" si="13"/>
        <v>0</v>
      </c>
      <c r="O27" s="39">
        <f t="shared" si="13"/>
        <v>0</v>
      </c>
      <c r="P27" s="22">
        <f t="shared" si="13"/>
        <v>0</v>
      </c>
      <c r="Q27" s="22">
        <f t="shared" si="13"/>
        <v>0</v>
      </c>
      <c r="R27" s="22">
        <f t="shared" si="13"/>
        <v>0</v>
      </c>
      <c r="S27" s="22">
        <f t="shared" si="13"/>
        <v>0</v>
      </c>
      <c r="T27" s="22">
        <f t="shared" si="13"/>
        <v>0</v>
      </c>
      <c r="U27" s="40">
        <f t="shared" si="13"/>
        <v>0</v>
      </c>
    </row>
    <row r="28" spans="1:21" ht="19.95" hidden="1" customHeight="1" x14ac:dyDescent="0.3">
      <c r="A28" s="52"/>
      <c r="B28" s="24"/>
      <c r="C28" s="24">
        <v>64033</v>
      </c>
      <c r="D28" s="25" t="s">
        <v>61</v>
      </c>
      <c r="E28" s="43"/>
      <c r="F28" s="27"/>
      <c r="G28" s="27"/>
      <c r="H28" s="44"/>
      <c r="I28" s="49">
        <f>H28*Subsector!$S$11</f>
        <v>0</v>
      </c>
      <c r="J28" s="26">
        <f>H28*Subsector!$S$12</f>
        <v>0</v>
      </c>
      <c r="K28" s="26">
        <f>H28*Subsector!$S$13</f>
        <v>0</v>
      </c>
      <c r="L28" s="26">
        <f>H28*Subsector!$S$15</f>
        <v>0</v>
      </c>
      <c r="M28" s="26">
        <f>H28*Subsector!$S$16</f>
        <v>0</v>
      </c>
      <c r="N28" s="66">
        <f>H28*Subsector!$S$17</f>
        <v>0</v>
      </c>
      <c r="O28" s="41">
        <f t="shared" ref="O28:P32" si="14">ROUNDUP(SUM(E28,I28),1)</f>
        <v>0</v>
      </c>
      <c r="P28" s="26">
        <f t="shared" si="14"/>
        <v>0</v>
      </c>
      <c r="Q28" s="26">
        <f>ROUNDUP(SUM(K28),1)</f>
        <v>0</v>
      </c>
      <c r="R28" s="26">
        <f>ROUNDUP(SUM(G28,L28),1)</f>
        <v>0</v>
      </c>
      <c r="S28" s="26">
        <f t="shared" ref="S28:T32" si="15">ROUNDUP(SUM(M28),1)</f>
        <v>0</v>
      </c>
      <c r="T28" s="26">
        <f t="shared" si="15"/>
        <v>0</v>
      </c>
      <c r="U28" s="42">
        <f>SUM(O28:T28)</f>
        <v>0</v>
      </c>
    </row>
    <row r="29" spans="1:21" ht="19.95" hidden="1" customHeight="1" x14ac:dyDescent="0.3">
      <c r="A29" s="52"/>
      <c r="B29" s="24"/>
      <c r="C29" s="24">
        <v>64034</v>
      </c>
      <c r="D29" s="25" t="s">
        <v>62</v>
      </c>
      <c r="E29" s="43"/>
      <c r="F29" s="27"/>
      <c r="G29" s="27"/>
      <c r="H29" s="44"/>
      <c r="I29" s="49">
        <f>H29*Subsector!$S$11</f>
        <v>0</v>
      </c>
      <c r="J29" s="26">
        <f>H29*Subsector!$S$12</f>
        <v>0</v>
      </c>
      <c r="K29" s="26">
        <f>H29*Subsector!$S$13</f>
        <v>0</v>
      </c>
      <c r="L29" s="26">
        <f>H29*Subsector!$S$15</f>
        <v>0</v>
      </c>
      <c r="M29" s="26">
        <f>H29*Subsector!$S$16</f>
        <v>0</v>
      </c>
      <c r="N29" s="66">
        <f>H29*Subsector!$S$17</f>
        <v>0</v>
      </c>
      <c r="O29" s="41">
        <f t="shared" si="14"/>
        <v>0</v>
      </c>
      <c r="P29" s="26">
        <f t="shared" si="14"/>
        <v>0</v>
      </c>
      <c r="Q29" s="26">
        <f>ROUNDUP(SUM(K29),1)</f>
        <v>0</v>
      </c>
      <c r="R29" s="26">
        <f>ROUNDUP(SUM(G29,L29),1)</f>
        <v>0</v>
      </c>
      <c r="S29" s="26">
        <f t="shared" si="15"/>
        <v>0</v>
      </c>
      <c r="T29" s="26">
        <f t="shared" si="15"/>
        <v>0</v>
      </c>
      <c r="U29" s="42">
        <f>SUM(O29:T29)</f>
        <v>0</v>
      </c>
    </row>
    <row r="30" spans="1:21" ht="19.95" hidden="1" customHeight="1" x14ac:dyDescent="0.3">
      <c r="A30" s="52"/>
      <c r="B30" s="24"/>
      <c r="C30" s="24">
        <v>64035</v>
      </c>
      <c r="D30" s="25" t="s">
        <v>63</v>
      </c>
      <c r="E30" s="43"/>
      <c r="F30" s="27"/>
      <c r="G30" s="27"/>
      <c r="H30" s="44"/>
      <c r="I30" s="49">
        <f>H30*Subsector!$S$11</f>
        <v>0</v>
      </c>
      <c r="J30" s="26">
        <f>H30*Subsector!$S$12</f>
        <v>0</v>
      </c>
      <c r="K30" s="26">
        <f>H30*Subsector!$S$13</f>
        <v>0</v>
      </c>
      <c r="L30" s="26">
        <f>H30*Subsector!$S$15</f>
        <v>0</v>
      </c>
      <c r="M30" s="26">
        <f>H30*Subsector!$S$16</f>
        <v>0</v>
      </c>
      <c r="N30" s="66">
        <f>H30*Subsector!$S$17</f>
        <v>0</v>
      </c>
      <c r="O30" s="41">
        <f t="shared" si="14"/>
        <v>0</v>
      </c>
      <c r="P30" s="26">
        <f t="shared" si="14"/>
        <v>0</v>
      </c>
      <c r="Q30" s="26">
        <f>ROUNDUP(SUM(K30),1)</f>
        <v>0</v>
      </c>
      <c r="R30" s="26">
        <f>ROUNDUP(SUM(G30,L30),1)</f>
        <v>0</v>
      </c>
      <c r="S30" s="26">
        <f t="shared" si="15"/>
        <v>0</v>
      </c>
      <c r="T30" s="26">
        <f t="shared" si="15"/>
        <v>0</v>
      </c>
      <c r="U30" s="42">
        <f>SUM(O30:T30)</f>
        <v>0</v>
      </c>
    </row>
    <row r="31" spans="1:21" ht="19.95" hidden="1" customHeight="1" x14ac:dyDescent="0.3">
      <c r="A31" s="52"/>
      <c r="B31" s="24"/>
      <c r="C31" s="24">
        <v>64037</v>
      </c>
      <c r="D31" s="25" t="s">
        <v>64</v>
      </c>
      <c r="E31" s="43"/>
      <c r="F31" s="27"/>
      <c r="G31" s="27"/>
      <c r="H31" s="44"/>
      <c r="I31" s="49">
        <f>H31*Subsector!$S$11</f>
        <v>0</v>
      </c>
      <c r="J31" s="26">
        <f>H31*Subsector!$S$12</f>
        <v>0</v>
      </c>
      <c r="K31" s="26">
        <f>H31*Subsector!$S$13</f>
        <v>0</v>
      </c>
      <c r="L31" s="26">
        <f>H31*Subsector!$S$15</f>
        <v>0</v>
      </c>
      <c r="M31" s="26">
        <f>H31*Subsector!$S$16</f>
        <v>0</v>
      </c>
      <c r="N31" s="66">
        <f>H31*Subsector!$S$17</f>
        <v>0</v>
      </c>
      <c r="O31" s="41">
        <f t="shared" si="14"/>
        <v>0</v>
      </c>
      <c r="P31" s="26">
        <f t="shared" si="14"/>
        <v>0</v>
      </c>
      <c r="Q31" s="26">
        <f>ROUNDUP(SUM(K31),1)</f>
        <v>0</v>
      </c>
      <c r="R31" s="26">
        <f>ROUNDUP(SUM(G31,L31),1)</f>
        <v>0</v>
      </c>
      <c r="S31" s="26">
        <f t="shared" si="15"/>
        <v>0</v>
      </c>
      <c r="T31" s="26">
        <f t="shared" si="15"/>
        <v>0</v>
      </c>
      <c r="U31" s="42">
        <f>SUM(O31:T31)</f>
        <v>0</v>
      </c>
    </row>
    <row r="32" spans="1:21" ht="19.95" hidden="1" customHeight="1" x14ac:dyDescent="0.3">
      <c r="A32" s="52"/>
      <c r="B32" s="24"/>
      <c r="C32" s="24">
        <v>64038</v>
      </c>
      <c r="D32" s="25" t="s">
        <v>60</v>
      </c>
      <c r="E32" s="43"/>
      <c r="F32" s="27"/>
      <c r="G32" s="27"/>
      <c r="H32" s="44"/>
      <c r="I32" s="49">
        <f>H32*Subsector!$S$11</f>
        <v>0</v>
      </c>
      <c r="J32" s="26">
        <f>H32*Subsector!$S$12</f>
        <v>0</v>
      </c>
      <c r="K32" s="26">
        <f>H32*Subsector!$S$13</f>
        <v>0</v>
      </c>
      <c r="L32" s="26">
        <f>H32*Subsector!$S$15</f>
        <v>0</v>
      </c>
      <c r="M32" s="26">
        <f>H32*Subsector!$S$16</f>
        <v>0</v>
      </c>
      <c r="N32" s="66">
        <f>H32*Subsector!$S$17</f>
        <v>0</v>
      </c>
      <c r="O32" s="41">
        <f t="shared" si="14"/>
        <v>0</v>
      </c>
      <c r="P32" s="26">
        <f t="shared" si="14"/>
        <v>0</v>
      </c>
      <c r="Q32" s="26">
        <f>ROUNDUP(SUM(K32),1)</f>
        <v>0</v>
      </c>
      <c r="R32" s="26">
        <f>ROUNDUP(SUM(G32,L32),1)</f>
        <v>0</v>
      </c>
      <c r="S32" s="26">
        <f t="shared" si="15"/>
        <v>0</v>
      </c>
      <c r="T32" s="26">
        <f t="shared" si="15"/>
        <v>0</v>
      </c>
      <c r="U32" s="42">
        <f>SUM(O32:T32)</f>
        <v>0</v>
      </c>
    </row>
    <row r="33" spans="1:21" ht="19.95" customHeight="1" x14ac:dyDescent="0.3">
      <c r="A33" s="51"/>
      <c r="B33" s="23">
        <v>6404</v>
      </c>
      <c r="C33" s="23"/>
      <c r="D33" s="21" t="s">
        <v>65</v>
      </c>
      <c r="E33" s="39">
        <f>SUM(E34:E36)</f>
        <v>0</v>
      </c>
      <c r="F33" s="22">
        <f t="shared" ref="F33:U33" si="16">SUM(F34:F36)</f>
        <v>23.900000000000002</v>
      </c>
      <c r="G33" s="22">
        <f t="shared" si="16"/>
        <v>20.400000000000002</v>
      </c>
      <c r="H33" s="40">
        <f t="shared" si="16"/>
        <v>0</v>
      </c>
      <c r="I33" s="36">
        <f t="shared" si="16"/>
        <v>0</v>
      </c>
      <c r="J33" s="22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65">
        <f t="shared" si="16"/>
        <v>0</v>
      </c>
      <c r="O33" s="39">
        <f t="shared" si="16"/>
        <v>0</v>
      </c>
      <c r="P33" s="22">
        <f t="shared" si="16"/>
        <v>23.9</v>
      </c>
      <c r="Q33" s="22">
        <f t="shared" si="16"/>
        <v>0</v>
      </c>
      <c r="R33" s="22">
        <f t="shared" si="16"/>
        <v>20.399999999999999</v>
      </c>
      <c r="S33" s="22">
        <f t="shared" si="16"/>
        <v>0</v>
      </c>
      <c r="T33" s="22">
        <f t="shared" si="16"/>
        <v>0</v>
      </c>
      <c r="U33" s="40">
        <f t="shared" si="16"/>
        <v>44.3</v>
      </c>
    </row>
    <row r="34" spans="1:21" ht="19.95" customHeight="1" x14ac:dyDescent="0.3">
      <c r="A34" s="52"/>
      <c r="B34" s="24"/>
      <c r="C34" s="24">
        <v>64041</v>
      </c>
      <c r="D34" s="25" t="s">
        <v>66</v>
      </c>
      <c r="E34" s="43">
        <v>0</v>
      </c>
      <c r="F34" s="27">
        <v>23.900000000000002</v>
      </c>
      <c r="G34" s="27">
        <v>20.400000000000002</v>
      </c>
      <c r="H34" s="44">
        <v>0</v>
      </c>
      <c r="I34" s="49">
        <f>H34*Subsector!$S$11</f>
        <v>0</v>
      </c>
      <c r="J34" s="26">
        <f>H34*Subsector!$S$12</f>
        <v>0</v>
      </c>
      <c r="K34" s="26">
        <f>H34*Subsector!$S$13</f>
        <v>0</v>
      </c>
      <c r="L34" s="26">
        <f>H34*Subsector!$S$15</f>
        <v>0</v>
      </c>
      <c r="M34" s="26">
        <f>H34*Subsector!$S$16</f>
        <v>0</v>
      </c>
      <c r="N34" s="66">
        <f>H34*Subsector!$S$17</f>
        <v>0</v>
      </c>
      <c r="O34" s="41">
        <f t="shared" ref="O34:P36" si="17">ROUNDUP(SUM(E34,I34),1)</f>
        <v>0</v>
      </c>
      <c r="P34" s="26">
        <f t="shared" si="17"/>
        <v>23.9</v>
      </c>
      <c r="Q34" s="26">
        <f>ROUNDUP(SUM(K34),1)</f>
        <v>0</v>
      </c>
      <c r="R34" s="26">
        <f>ROUNDUP(SUM(G34,L34),1)</f>
        <v>20.399999999999999</v>
      </c>
      <c r="S34" s="26">
        <f t="shared" ref="S34:T36" si="18">ROUNDUP(SUM(M34),1)</f>
        <v>0</v>
      </c>
      <c r="T34" s="26">
        <f t="shared" si="18"/>
        <v>0</v>
      </c>
      <c r="U34" s="42">
        <f>SUM(O34:T34)</f>
        <v>44.3</v>
      </c>
    </row>
    <row r="35" spans="1:21" ht="19.95" hidden="1" customHeight="1" x14ac:dyDescent="0.3">
      <c r="A35" s="52"/>
      <c r="B35" s="24"/>
      <c r="C35" s="24">
        <v>64042</v>
      </c>
      <c r="D35" s="25" t="s">
        <v>67</v>
      </c>
      <c r="E35" s="43"/>
      <c r="F35" s="27"/>
      <c r="G35" s="27"/>
      <c r="H35" s="44"/>
      <c r="I35" s="49">
        <f>H35*Subsector!$S$11</f>
        <v>0</v>
      </c>
      <c r="J35" s="26">
        <f>H35*Subsector!$S$12</f>
        <v>0</v>
      </c>
      <c r="K35" s="26">
        <f>H35*Subsector!$S$13</f>
        <v>0</v>
      </c>
      <c r="L35" s="26">
        <f>H35*Subsector!$S$15</f>
        <v>0</v>
      </c>
      <c r="M35" s="26">
        <f>H35*Subsector!$S$16</f>
        <v>0</v>
      </c>
      <c r="N35" s="66">
        <f>H35*Subsector!$S$17</f>
        <v>0</v>
      </c>
      <c r="O35" s="41">
        <f t="shared" si="17"/>
        <v>0</v>
      </c>
      <c r="P35" s="26">
        <f t="shared" si="17"/>
        <v>0</v>
      </c>
      <c r="Q35" s="26">
        <f>ROUNDUP(SUM(K35),1)</f>
        <v>0</v>
      </c>
      <c r="R35" s="26">
        <f>ROUNDUP(SUM(G35,L35),1)</f>
        <v>0</v>
      </c>
      <c r="S35" s="26">
        <f t="shared" si="18"/>
        <v>0</v>
      </c>
      <c r="T35" s="26">
        <f t="shared" si="18"/>
        <v>0</v>
      </c>
      <c r="U35" s="42">
        <f>SUM(O35:T35)</f>
        <v>0</v>
      </c>
    </row>
    <row r="36" spans="1:21" ht="19.95" hidden="1" customHeight="1" x14ac:dyDescent="0.3">
      <c r="A36" s="53"/>
      <c r="B36" s="23"/>
      <c r="C36" s="24">
        <v>64048</v>
      </c>
      <c r="D36" s="25" t="s">
        <v>68</v>
      </c>
      <c r="E36" s="43"/>
      <c r="F36" s="27"/>
      <c r="G36" s="27"/>
      <c r="H36" s="44"/>
      <c r="I36" s="49">
        <f>H36*Subsector!$S$11</f>
        <v>0</v>
      </c>
      <c r="J36" s="26">
        <f>H36*Subsector!$S$12</f>
        <v>0</v>
      </c>
      <c r="K36" s="26">
        <f>H36*Subsector!$S$13</f>
        <v>0</v>
      </c>
      <c r="L36" s="26">
        <f>H36*Subsector!$S$15</f>
        <v>0</v>
      </c>
      <c r="M36" s="26">
        <f>H36*Subsector!$S$16</f>
        <v>0</v>
      </c>
      <c r="N36" s="66">
        <f>H36*Subsector!$S$17</f>
        <v>0</v>
      </c>
      <c r="O36" s="41">
        <f t="shared" si="17"/>
        <v>0</v>
      </c>
      <c r="P36" s="26">
        <f t="shared" si="17"/>
        <v>0</v>
      </c>
      <c r="Q36" s="26">
        <f>ROUNDUP(SUM(K36),1)</f>
        <v>0</v>
      </c>
      <c r="R36" s="26">
        <f>ROUNDUP(SUM(G36,L36),1)</f>
        <v>0</v>
      </c>
      <c r="S36" s="26">
        <f t="shared" si="18"/>
        <v>0</v>
      </c>
      <c r="T36" s="26">
        <f t="shared" si="18"/>
        <v>0</v>
      </c>
      <c r="U36" s="42">
        <f>SUM(O36:T36)</f>
        <v>0</v>
      </c>
    </row>
    <row r="37" spans="1:21" ht="19.95" customHeight="1" x14ac:dyDescent="0.3">
      <c r="A37" s="54"/>
      <c r="B37" s="23">
        <v>6405</v>
      </c>
      <c r="C37" s="23"/>
      <c r="D37" s="21" t="s">
        <v>69</v>
      </c>
      <c r="E37" s="39">
        <f>SUM(E38:E44)</f>
        <v>0</v>
      </c>
      <c r="F37" s="22">
        <f t="shared" ref="F37:U37" si="19">SUM(F38:F44)</f>
        <v>20.099999999999998</v>
      </c>
      <c r="G37" s="22">
        <f t="shared" si="19"/>
        <v>0</v>
      </c>
      <c r="H37" s="40">
        <f t="shared" si="19"/>
        <v>8.2999999999999989</v>
      </c>
      <c r="I37" s="36">
        <f t="shared" si="19"/>
        <v>2.9424880764151347E-2</v>
      </c>
      <c r="J37" s="22">
        <f t="shared" si="19"/>
        <v>4.9958301966903091</v>
      </c>
      <c r="K37" s="22">
        <f t="shared" si="19"/>
        <v>3.1310148657343126</v>
      </c>
      <c r="L37" s="22">
        <f t="shared" si="19"/>
        <v>0.10420861519706798</v>
      </c>
      <c r="M37" s="22">
        <f t="shared" si="19"/>
        <v>0</v>
      </c>
      <c r="N37" s="65">
        <f t="shared" si="19"/>
        <v>3.9521441614157729E-2</v>
      </c>
      <c r="O37" s="39">
        <f t="shared" si="19"/>
        <v>0.1</v>
      </c>
      <c r="P37" s="22">
        <f t="shared" si="19"/>
        <v>25.1</v>
      </c>
      <c r="Q37" s="22">
        <f t="shared" si="19"/>
        <v>3.2</v>
      </c>
      <c r="R37" s="22">
        <f t="shared" si="19"/>
        <v>0.2</v>
      </c>
      <c r="S37" s="22">
        <f t="shared" si="19"/>
        <v>0</v>
      </c>
      <c r="T37" s="22">
        <f t="shared" si="19"/>
        <v>0.1</v>
      </c>
      <c r="U37" s="40">
        <f t="shared" si="19"/>
        <v>28.700000000000003</v>
      </c>
    </row>
    <row r="38" spans="1:21" ht="19.95" customHeight="1" x14ac:dyDescent="0.3">
      <c r="A38" s="55"/>
      <c r="B38" s="23"/>
      <c r="C38" s="24">
        <v>64051</v>
      </c>
      <c r="D38" s="25" t="s">
        <v>70</v>
      </c>
      <c r="E38" s="43"/>
      <c r="F38" s="27"/>
      <c r="G38" s="27"/>
      <c r="H38" s="44"/>
      <c r="I38" s="49">
        <f>H38*Subsector!$S$11</f>
        <v>0</v>
      </c>
      <c r="J38" s="26">
        <f>H38*Subsector!$S$12</f>
        <v>0</v>
      </c>
      <c r="K38" s="26">
        <f>H38*Subsector!$S$13</f>
        <v>0</v>
      </c>
      <c r="L38" s="26">
        <f>H38*Subsector!$S$15</f>
        <v>0</v>
      </c>
      <c r="M38" s="26">
        <f>H38*Subsector!$S$16</f>
        <v>0</v>
      </c>
      <c r="N38" s="66">
        <f>H38*Subsector!$S$17</f>
        <v>0</v>
      </c>
      <c r="O38" s="41">
        <f t="shared" ref="O38:P44" si="20">ROUNDUP(SUM(E38,I38),1)</f>
        <v>0</v>
      </c>
      <c r="P38" s="26">
        <f t="shared" si="20"/>
        <v>0</v>
      </c>
      <c r="Q38" s="26">
        <f t="shared" ref="Q38:Q44" si="21">ROUNDUP(SUM(K38),1)</f>
        <v>0</v>
      </c>
      <c r="R38" s="26">
        <f t="shared" ref="R38:R44" si="22">ROUNDUP(SUM(G38,L38),1)</f>
        <v>0</v>
      </c>
      <c r="S38" s="26">
        <f t="shared" ref="S38:T44" si="23">ROUNDUP(SUM(M38),1)</f>
        <v>0</v>
      </c>
      <c r="T38" s="26">
        <f t="shared" si="23"/>
        <v>0</v>
      </c>
      <c r="U38" s="42">
        <f t="shared" ref="U38:U44" si="24">SUM(O38:T38)</f>
        <v>0</v>
      </c>
    </row>
    <row r="39" spans="1:21" ht="19.95" customHeight="1" x14ac:dyDescent="0.3">
      <c r="A39" s="55"/>
      <c r="B39" s="24"/>
      <c r="C39" s="24">
        <v>64052</v>
      </c>
      <c r="D39" s="25" t="s">
        <v>71</v>
      </c>
      <c r="E39" s="43"/>
      <c r="F39" s="27">
        <v>4.8</v>
      </c>
      <c r="G39" s="27">
        <v>0</v>
      </c>
      <c r="H39" s="44">
        <v>0</v>
      </c>
      <c r="I39" s="49">
        <f>H39*Subsector!$S$11</f>
        <v>0</v>
      </c>
      <c r="J39" s="26">
        <f>H39*Subsector!$S$12</f>
        <v>0</v>
      </c>
      <c r="K39" s="26">
        <f>H39*Subsector!$S$13</f>
        <v>0</v>
      </c>
      <c r="L39" s="26">
        <f>H39*Subsector!$S$15</f>
        <v>0</v>
      </c>
      <c r="M39" s="26">
        <f>H39*Subsector!$S$16</f>
        <v>0</v>
      </c>
      <c r="N39" s="66">
        <f>H39*Subsector!$S$17</f>
        <v>0</v>
      </c>
      <c r="O39" s="41">
        <f t="shared" si="20"/>
        <v>0</v>
      </c>
      <c r="P39" s="26">
        <f t="shared" si="20"/>
        <v>4.8</v>
      </c>
      <c r="Q39" s="26">
        <f t="shared" si="21"/>
        <v>0</v>
      </c>
      <c r="R39" s="26">
        <f t="shared" si="22"/>
        <v>0</v>
      </c>
      <c r="S39" s="26">
        <f t="shared" si="23"/>
        <v>0</v>
      </c>
      <c r="T39" s="26">
        <f t="shared" si="23"/>
        <v>0</v>
      </c>
      <c r="U39" s="42">
        <f t="shared" si="24"/>
        <v>4.8</v>
      </c>
    </row>
    <row r="40" spans="1:21" ht="19.95" customHeight="1" x14ac:dyDescent="0.3">
      <c r="A40" s="55"/>
      <c r="B40" s="24"/>
      <c r="C40" s="24">
        <v>64053</v>
      </c>
      <c r="D40" s="25" t="s">
        <v>72</v>
      </c>
      <c r="E40" s="43"/>
      <c r="F40" s="27">
        <v>15.299999999999999</v>
      </c>
      <c r="G40" s="27">
        <v>0</v>
      </c>
      <c r="H40" s="44">
        <v>0</v>
      </c>
      <c r="I40" s="49">
        <f>H40*Subsector!$S$11</f>
        <v>0</v>
      </c>
      <c r="J40" s="26">
        <f>H40*Subsector!$S$12</f>
        <v>0</v>
      </c>
      <c r="K40" s="26">
        <f>H40*Subsector!$S$13</f>
        <v>0</v>
      </c>
      <c r="L40" s="26">
        <f>H40*Subsector!$S$15</f>
        <v>0</v>
      </c>
      <c r="M40" s="26">
        <f>H40*Subsector!$S$16</f>
        <v>0</v>
      </c>
      <c r="N40" s="66">
        <f>H40*Subsector!$S$17</f>
        <v>0</v>
      </c>
      <c r="O40" s="41">
        <f t="shared" si="20"/>
        <v>0</v>
      </c>
      <c r="P40" s="26">
        <f t="shared" si="20"/>
        <v>15.3</v>
      </c>
      <c r="Q40" s="26">
        <f t="shared" si="21"/>
        <v>0</v>
      </c>
      <c r="R40" s="26">
        <f t="shared" si="22"/>
        <v>0</v>
      </c>
      <c r="S40" s="26">
        <f t="shared" si="23"/>
        <v>0</v>
      </c>
      <c r="T40" s="26">
        <f t="shared" si="23"/>
        <v>0</v>
      </c>
      <c r="U40" s="42">
        <f t="shared" si="24"/>
        <v>15.3</v>
      </c>
    </row>
    <row r="41" spans="1:21" ht="19.95" customHeight="1" x14ac:dyDescent="0.3">
      <c r="A41" s="55"/>
      <c r="B41" s="24"/>
      <c r="C41" s="24">
        <v>64054</v>
      </c>
      <c r="D41" s="25" t="s">
        <v>73</v>
      </c>
      <c r="E41" s="43"/>
      <c r="F41" s="27">
        <v>0</v>
      </c>
      <c r="G41" s="27">
        <v>0</v>
      </c>
      <c r="H41" s="44">
        <v>8.2999999999999989</v>
      </c>
      <c r="I41" s="49">
        <f>H41*Subsector!$S$11</f>
        <v>2.9424880764151347E-2</v>
      </c>
      <c r="J41" s="26">
        <f>H41*Subsector!$S$12</f>
        <v>4.9958301966903091</v>
      </c>
      <c r="K41" s="26">
        <f>H41*Subsector!$S$13</f>
        <v>3.1310148657343126</v>
      </c>
      <c r="L41" s="26">
        <f>H41*Subsector!$S$15</f>
        <v>0.10420861519706798</v>
      </c>
      <c r="M41" s="26">
        <f>H41*Subsector!$S$16</f>
        <v>0</v>
      </c>
      <c r="N41" s="66">
        <f>H41*Subsector!$S$17</f>
        <v>3.9521441614157729E-2</v>
      </c>
      <c r="O41" s="41">
        <f t="shared" si="20"/>
        <v>0.1</v>
      </c>
      <c r="P41" s="26">
        <f t="shared" si="20"/>
        <v>5</v>
      </c>
      <c r="Q41" s="26">
        <f t="shared" si="21"/>
        <v>3.2</v>
      </c>
      <c r="R41" s="26">
        <f t="shared" si="22"/>
        <v>0.2</v>
      </c>
      <c r="S41" s="26">
        <f t="shared" si="23"/>
        <v>0</v>
      </c>
      <c r="T41" s="26">
        <f t="shared" si="23"/>
        <v>0.1</v>
      </c>
      <c r="U41" s="42">
        <f t="shared" si="24"/>
        <v>8.6</v>
      </c>
    </row>
    <row r="42" spans="1:21" ht="19.95" hidden="1" customHeight="1" x14ac:dyDescent="0.3">
      <c r="A42" s="55"/>
      <c r="B42" s="24"/>
      <c r="C42" s="24">
        <v>64055</v>
      </c>
      <c r="D42" s="25" t="s">
        <v>74</v>
      </c>
      <c r="E42" s="43"/>
      <c r="F42" s="27"/>
      <c r="G42" s="27"/>
      <c r="H42" s="44"/>
      <c r="I42" s="49">
        <f>H42*Subsector!$S$11</f>
        <v>0</v>
      </c>
      <c r="J42" s="26">
        <f>H42*Subsector!$S$12</f>
        <v>0</v>
      </c>
      <c r="K42" s="26">
        <f>H42*Subsector!$S$13</f>
        <v>0</v>
      </c>
      <c r="L42" s="26">
        <f>H42*Subsector!$S$15</f>
        <v>0</v>
      </c>
      <c r="M42" s="26">
        <f>H42*Subsector!$S$16</f>
        <v>0</v>
      </c>
      <c r="N42" s="66">
        <f>H42*Subsector!$S$17</f>
        <v>0</v>
      </c>
      <c r="O42" s="41">
        <f t="shared" si="20"/>
        <v>0</v>
      </c>
      <c r="P42" s="26">
        <f t="shared" si="20"/>
        <v>0</v>
      </c>
      <c r="Q42" s="26">
        <f t="shared" si="21"/>
        <v>0</v>
      </c>
      <c r="R42" s="26">
        <f t="shared" si="22"/>
        <v>0</v>
      </c>
      <c r="S42" s="26">
        <f t="shared" si="23"/>
        <v>0</v>
      </c>
      <c r="T42" s="26">
        <f t="shared" si="23"/>
        <v>0</v>
      </c>
      <c r="U42" s="42">
        <f t="shared" si="24"/>
        <v>0</v>
      </c>
    </row>
    <row r="43" spans="1:21" ht="19.95" hidden="1" customHeight="1" x14ac:dyDescent="0.3">
      <c r="A43" s="55"/>
      <c r="B43" s="24"/>
      <c r="C43" s="24">
        <v>64056</v>
      </c>
      <c r="D43" s="25" t="s">
        <v>75</v>
      </c>
      <c r="E43" s="43"/>
      <c r="F43" s="27"/>
      <c r="G43" s="27"/>
      <c r="H43" s="44"/>
      <c r="I43" s="49">
        <f>H43*Subsector!$S$11</f>
        <v>0</v>
      </c>
      <c r="J43" s="26">
        <f>H43*Subsector!$S$12</f>
        <v>0</v>
      </c>
      <c r="K43" s="26">
        <f>H43*Subsector!$S$13</f>
        <v>0</v>
      </c>
      <c r="L43" s="26">
        <f>H43*Subsector!$S$15</f>
        <v>0</v>
      </c>
      <c r="M43" s="26">
        <f>H43*Subsector!$S$16</f>
        <v>0</v>
      </c>
      <c r="N43" s="66">
        <f>H43*Subsector!$S$17</f>
        <v>0</v>
      </c>
      <c r="O43" s="41">
        <f t="shared" si="20"/>
        <v>0</v>
      </c>
      <c r="P43" s="26">
        <f t="shared" si="20"/>
        <v>0</v>
      </c>
      <c r="Q43" s="26">
        <f t="shared" si="21"/>
        <v>0</v>
      </c>
      <c r="R43" s="26">
        <f t="shared" si="22"/>
        <v>0</v>
      </c>
      <c r="S43" s="26">
        <f t="shared" si="23"/>
        <v>0</v>
      </c>
      <c r="T43" s="26">
        <f t="shared" si="23"/>
        <v>0</v>
      </c>
      <c r="U43" s="42">
        <f t="shared" si="24"/>
        <v>0</v>
      </c>
    </row>
    <row r="44" spans="1:21" ht="19.95" hidden="1" customHeight="1" x14ac:dyDescent="0.3">
      <c r="A44" s="55"/>
      <c r="B44" s="24"/>
      <c r="C44" s="24">
        <v>64058</v>
      </c>
      <c r="D44" s="25" t="s">
        <v>76</v>
      </c>
      <c r="E44" s="43"/>
      <c r="F44" s="27"/>
      <c r="G44" s="27"/>
      <c r="H44" s="44"/>
      <c r="I44" s="49">
        <f>H44*Subsector!$S$11</f>
        <v>0</v>
      </c>
      <c r="J44" s="26">
        <f>H44*Subsector!$S$12</f>
        <v>0</v>
      </c>
      <c r="K44" s="26">
        <f>H44*Subsector!$S$13</f>
        <v>0</v>
      </c>
      <c r="L44" s="26">
        <f>H44*Subsector!$S$15</f>
        <v>0</v>
      </c>
      <c r="M44" s="26">
        <f>H44*Subsector!$S$16</f>
        <v>0</v>
      </c>
      <c r="N44" s="66">
        <f>H44*Subsector!$S$17</f>
        <v>0</v>
      </c>
      <c r="O44" s="41">
        <f t="shared" si="20"/>
        <v>0</v>
      </c>
      <c r="P44" s="26">
        <f t="shared" si="20"/>
        <v>0</v>
      </c>
      <c r="Q44" s="26">
        <f t="shared" si="21"/>
        <v>0</v>
      </c>
      <c r="R44" s="26">
        <f t="shared" si="22"/>
        <v>0</v>
      </c>
      <c r="S44" s="26">
        <f t="shared" si="23"/>
        <v>0</v>
      </c>
      <c r="T44" s="26">
        <f t="shared" si="23"/>
        <v>0</v>
      </c>
      <c r="U44" s="42">
        <f t="shared" si="24"/>
        <v>0</v>
      </c>
    </row>
    <row r="45" spans="1:21" ht="19.95" customHeight="1" x14ac:dyDescent="0.3">
      <c r="A45" s="54"/>
      <c r="B45" s="28">
        <v>6406</v>
      </c>
      <c r="C45" s="23"/>
      <c r="D45" s="21" t="s">
        <v>77</v>
      </c>
      <c r="E45" s="39">
        <f>SUM(E46:E49)</f>
        <v>0</v>
      </c>
      <c r="F45" s="22">
        <f t="shared" ref="F45:U45" si="25">SUM(F46:F49)</f>
        <v>11.299999999999999</v>
      </c>
      <c r="G45" s="22">
        <f t="shared" si="25"/>
        <v>0</v>
      </c>
      <c r="H45" s="40">
        <f t="shared" si="25"/>
        <v>1.2</v>
      </c>
      <c r="I45" s="36">
        <f t="shared" si="25"/>
        <v>4.2541996285520023E-3</v>
      </c>
      <c r="J45" s="22">
        <f t="shared" si="25"/>
        <v>0.7222887031359484</v>
      </c>
      <c r="K45" s="22">
        <f t="shared" si="25"/>
        <v>0.45267684805797292</v>
      </c>
      <c r="L45" s="22">
        <f t="shared" si="25"/>
        <v>1.5066305811624289E-2</v>
      </c>
      <c r="M45" s="22">
        <f t="shared" si="25"/>
        <v>0</v>
      </c>
      <c r="N45" s="65">
        <f t="shared" si="25"/>
        <v>5.7139433659023223E-3</v>
      </c>
      <c r="O45" s="39">
        <f t="shared" si="25"/>
        <v>0.2</v>
      </c>
      <c r="P45" s="22">
        <f t="shared" si="25"/>
        <v>12.1</v>
      </c>
      <c r="Q45" s="22">
        <f t="shared" si="25"/>
        <v>0.60000000000000009</v>
      </c>
      <c r="R45" s="22">
        <f t="shared" si="25"/>
        <v>0.2</v>
      </c>
      <c r="S45" s="22">
        <f t="shared" si="25"/>
        <v>0</v>
      </c>
      <c r="T45" s="22">
        <f t="shared" si="25"/>
        <v>0.2</v>
      </c>
      <c r="U45" s="40">
        <f t="shared" si="25"/>
        <v>13.299999999999999</v>
      </c>
    </row>
    <row r="46" spans="1:21" ht="19.95" customHeight="1" x14ac:dyDescent="0.3">
      <c r="A46" s="55"/>
      <c r="B46" s="28"/>
      <c r="C46" s="24">
        <v>64061</v>
      </c>
      <c r="D46" s="25" t="s">
        <v>78</v>
      </c>
      <c r="E46" s="43"/>
      <c r="F46" s="27">
        <v>8.6999999999999993</v>
      </c>
      <c r="G46" s="27">
        <v>0</v>
      </c>
      <c r="H46" s="44">
        <v>0.79999999999999993</v>
      </c>
      <c r="I46" s="49">
        <f>H46*Subsector!$S$11</f>
        <v>2.8361330857013347E-3</v>
      </c>
      <c r="J46" s="26">
        <f>H46*Subsector!$S$12</f>
        <v>0.48152580209063223</v>
      </c>
      <c r="K46" s="26">
        <f>H46*Subsector!$S$13</f>
        <v>0.30178456537198195</v>
      </c>
      <c r="L46" s="26">
        <f>H46*Subsector!$S$15</f>
        <v>1.0044203874416192E-2</v>
      </c>
      <c r="M46" s="26">
        <f>H46*Subsector!$S$16</f>
        <v>0</v>
      </c>
      <c r="N46" s="66">
        <f>H46*Subsector!$S$17</f>
        <v>3.8092955772682149E-3</v>
      </c>
      <c r="O46" s="41">
        <f t="shared" ref="O46:P49" si="26">ROUNDUP(SUM(E46,I46),1)</f>
        <v>0.1</v>
      </c>
      <c r="P46" s="26">
        <f t="shared" si="26"/>
        <v>9.1999999999999993</v>
      </c>
      <c r="Q46" s="26">
        <f>ROUNDUP(SUM(K46),1)</f>
        <v>0.4</v>
      </c>
      <c r="R46" s="26">
        <f>ROUNDUP(SUM(G46,L46),1)</f>
        <v>0.1</v>
      </c>
      <c r="S46" s="26">
        <f t="shared" ref="S46:T49" si="27">ROUNDUP(SUM(M46),1)</f>
        <v>0</v>
      </c>
      <c r="T46" s="26">
        <f t="shared" si="27"/>
        <v>0.1</v>
      </c>
      <c r="U46" s="42">
        <f>SUM(O46:T46)</f>
        <v>9.8999999999999986</v>
      </c>
    </row>
    <row r="47" spans="1:21" ht="19.95" customHeight="1" x14ac:dyDescent="0.3">
      <c r="A47" s="55"/>
      <c r="B47" s="28"/>
      <c r="C47" s="24">
        <v>64063</v>
      </c>
      <c r="D47" s="25" t="s">
        <v>79</v>
      </c>
      <c r="E47" s="43"/>
      <c r="F47" s="27">
        <v>2.6</v>
      </c>
      <c r="G47" s="27">
        <v>0</v>
      </c>
      <c r="H47" s="44">
        <v>0.4</v>
      </c>
      <c r="I47" s="49">
        <f>H47*Subsector!$S$11</f>
        <v>1.4180665428506676E-3</v>
      </c>
      <c r="J47" s="26">
        <f>H47*Subsector!$S$12</f>
        <v>0.24076290104531617</v>
      </c>
      <c r="K47" s="26">
        <f>H47*Subsector!$S$13</f>
        <v>0.150892282685991</v>
      </c>
      <c r="L47" s="26">
        <f>H47*Subsector!$S$15</f>
        <v>5.0221019372080969E-3</v>
      </c>
      <c r="M47" s="26">
        <f>H47*Subsector!$S$16</f>
        <v>0</v>
      </c>
      <c r="N47" s="66">
        <f>H47*Subsector!$S$17</f>
        <v>1.9046477886341077E-3</v>
      </c>
      <c r="O47" s="41">
        <f t="shared" si="26"/>
        <v>0.1</v>
      </c>
      <c r="P47" s="26">
        <f t="shared" si="26"/>
        <v>2.9</v>
      </c>
      <c r="Q47" s="26">
        <f>ROUNDUP(SUM(K47),1)</f>
        <v>0.2</v>
      </c>
      <c r="R47" s="26">
        <f>ROUNDUP(SUM(G47,L47),1)</f>
        <v>0.1</v>
      </c>
      <c r="S47" s="26">
        <f t="shared" si="27"/>
        <v>0</v>
      </c>
      <c r="T47" s="26">
        <f t="shared" si="27"/>
        <v>0.1</v>
      </c>
      <c r="U47" s="42">
        <f>SUM(O47:T47)</f>
        <v>3.4000000000000004</v>
      </c>
    </row>
    <row r="48" spans="1:21" ht="19.95" hidden="1" customHeight="1" x14ac:dyDescent="0.3">
      <c r="A48" s="55"/>
      <c r="B48" s="24"/>
      <c r="C48" s="24">
        <v>64064</v>
      </c>
      <c r="D48" s="25" t="s">
        <v>80</v>
      </c>
      <c r="E48" s="43"/>
      <c r="F48" s="27"/>
      <c r="G48" s="27"/>
      <c r="H48" s="44"/>
      <c r="I48" s="49">
        <f>H48*Subsector!$S$11</f>
        <v>0</v>
      </c>
      <c r="J48" s="26">
        <f>H48*Subsector!$S$12</f>
        <v>0</v>
      </c>
      <c r="K48" s="26">
        <f>H48*Subsector!$S$13</f>
        <v>0</v>
      </c>
      <c r="L48" s="26">
        <f>H48*Subsector!$S$15</f>
        <v>0</v>
      </c>
      <c r="M48" s="26">
        <f>H48*Subsector!$S$16</f>
        <v>0</v>
      </c>
      <c r="N48" s="66">
        <f>H48*Subsector!$S$17</f>
        <v>0</v>
      </c>
      <c r="O48" s="41">
        <f t="shared" si="26"/>
        <v>0</v>
      </c>
      <c r="P48" s="26">
        <f t="shared" si="26"/>
        <v>0</v>
      </c>
      <c r="Q48" s="26">
        <f>ROUNDUP(SUM(K48),1)</f>
        <v>0</v>
      </c>
      <c r="R48" s="26">
        <f>ROUNDUP(SUM(G48,L48),1)</f>
        <v>0</v>
      </c>
      <c r="S48" s="26">
        <f t="shared" si="27"/>
        <v>0</v>
      </c>
      <c r="T48" s="26">
        <f t="shared" si="27"/>
        <v>0</v>
      </c>
      <c r="U48" s="42">
        <f>SUM(O48:T48)</f>
        <v>0</v>
      </c>
    </row>
    <row r="49" spans="1:21" ht="19.95" hidden="1" customHeight="1" x14ac:dyDescent="0.3">
      <c r="A49" s="55"/>
      <c r="B49" s="24"/>
      <c r="C49" s="24">
        <v>64068</v>
      </c>
      <c r="D49" s="25" t="s">
        <v>81</v>
      </c>
      <c r="E49" s="43"/>
      <c r="F49" s="27"/>
      <c r="G49" s="27"/>
      <c r="H49" s="44"/>
      <c r="I49" s="49">
        <f>H49*Subsector!$S$11</f>
        <v>0</v>
      </c>
      <c r="J49" s="26">
        <f>H49*Subsector!$S$12</f>
        <v>0</v>
      </c>
      <c r="K49" s="26">
        <f>H49*Subsector!$S$13</f>
        <v>0</v>
      </c>
      <c r="L49" s="26">
        <f>H49*Subsector!$S$15</f>
        <v>0</v>
      </c>
      <c r="M49" s="26">
        <f>H49*Subsector!$S$16</f>
        <v>0</v>
      </c>
      <c r="N49" s="66">
        <f>H49*Subsector!$S$17</f>
        <v>0</v>
      </c>
      <c r="O49" s="41">
        <f t="shared" si="26"/>
        <v>0</v>
      </c>
      <c r="P49" s="26">
        <f t="shared" si="26"/>
        <v>0</v>
      </c>
      <c r="Q49" s="26">
        <f>ROUNDUP(SUM(K49),1)</f>
        <v>0</v>
      </c>
      <c r="R49" s="26">
        <f>ROUNDUP(SUM(G49,L49),1)</f>
        <v>0</v>
      </c>
      <c r="S49" s="26">
        <f t="shared" si="27"/>
        <v>0</v>
      </c>
      <c r="T49" s="26">
        <f t="shared" si="27"/>
        <v>0</v>
      </c>
      <c r="U49" s="42">
        <f>SUM(O49:T49)</f>
        <v>0</v>
      </c>
    </row>
    <row r="50" spans="1:21" ht="19.95" hidden="1" customHeight="1" x14ac:dyDescent="0.3">
      <c r="A50" s="51"/>
      <c r="B50" s="28">
        <v>6407</v>
      </c>
      <c r="C50" s="28"/>
      <c r="D50" s="29" t="s">
        <v>82</v>
      </c>
      <c r="E50" s="39">
        <f>SUM(E51:E58)</f>
        <v>0</v>
      </c>
      <c r="F50" s="22">
        <f t="shared" ref="F50:U50" si="28">SUM(F51:F58)</f>
        <v>0</v>
      </c>
      <c r="G50" s="22">
        <f t="shared" si="28"/>
        <v>0</v>
      </c>
      <c r="H50" s="40">
        <f t="shared" si="28"/>
        <v>0</v>
      </c>
      <c r="I50" s="36">
        <f t="shared" si="28"/>
        <v>0</v>
      </c>
      <c r="J50" s="22">
        <f t="shared" si="28"/>
        <v>0</v>
      </c>
      <c r="K50" s="22">
        <f t="shared" si="28"/>
        <v>0</v>
      </c>
      <c r="L50" s="22">
        <f t="shared" si="28"/>
        <v>0</v>
      </c>
      <c r="M50" s="22">
        <f t="shared" si="28"/>
        <v>0</v>
      </c>
      <c r="N50" s="65">
        <f t="shared" si="28"/>
        <v>0</v>
      </c>
      <c r="O50" s="39">
        <f t="shared" si="28"/>
        <v>0</v>
      </c>
      <c r="P50" s="22">
        <f t="shared" si="28"/>
        <v>0</v>
      </c>
      <c r="Q50" s="22">
        <f t="shared" si="28"/>
        <v>0</v>
      </c>
      <c r="R50" s="22">
        <f t="shared" si="28"/>
        <v>0</v>
      </c>
      <c r="S50" s="22">
        <f t="shared" si="28"/>
        <v>0</v>
      </c>
      <c r="T50" s="22">
        <f t="shared" si="28"/>
        <v>0</v>
      </c>
      <c r="U50" s="40">
        <f t="shared" si="28"/>
        <v>0</v>
      </c>
    </row>
    <row r="51" spans="1:21" ht="19.95" hidden="1" customHeight="1" x14ac:dyDescent="0.3">
      <c r="A51" s="52"/>
      <c r="B51" s="28"/>
      <c r="C51" s="30">
        <v>64071</v>
      </c>
      <c r="D51" s="31" t="s">
        <v>83</v>
      </c>
      <c r="E51" s="43"/>
      <c r="F51" s="27"/>
      <c r="G51" s="27"/>
      <c r="H51" s="44"/>
      <c r="I51" s="49">
        <f>H51*Subsector!$S$11</f>
        <v>0</v>
      </c>
      <c r="J51" s="26">
        <f>H51*Subsector!$S$12</f>
        <v>0</v>
      </c>
      <c r="K51" s="26">
        <f>H51*Subsector!$S$13</f>
        <v>0</v>
      </c>
      <c r="L51" s="26">
        <f>H51*Subsector!$S$15</f>
        <v>0</v>
      </c>
      <c r="M51" s="26">
        <f>H51*Subsector!$S$16</f>
        <v>0</v>
      </c>
      <c r="N51" s="66">
        <f>H51*Subsector!$S$17</f>
        <v>0</v>
      </c>
      <c r="O51" s="41">
        <f t="shared" ref="O51:P58" si="29">ROUNDUP(SUM(E51,I51),1)</f>
        <v>0</v>
      </c>
      <c r="P51" s="26">
        <f t="shared" si="29"/>
        <v>0</v>
      </c>
      <c r="Q51" s="26">
        <f t="shared" ref="Q51:Q58" si="30">ROUNDUP(SUM(K51),1)</f>
        <v>0</v>
      </c>
      <c r="R51" s="26">
        <f t="shared" ref="R51:R58" si="31">ROUNDUP(SUM(G51,L51),1)</f>
        <v>0</v>
      </c>
      <c r="S51" s="26">
        <f t="shared" ref="S51:T58" si="32">ROUNDUP(SUM(M51),1)</f>
        <v>0</v>
      </c>
      <c r="T51" s="26">
        <f t="shared" si="32"/>
        <v>0</v>
      </c>
      <c r="U51" s="42">
        <f t="shared" ref="U51:U58" si="33">SUM(O51:T51)</f>
        <v>0</v>
      </c>
    </row>
    <row r="52" spans="1:21" ht="19.95" hidden="1" customHeight="1" x14ac:dyDescent="0.3">
      <c r="A52" s="52"/>
      <c r="B52" s="28"/>
      <c r="C52" s="30">
        <v>64072</v>
      </c>
      <c r="D52" s="31" t="s">
        <v>84</v>
      </c>
      <c r="E52" s="43"/>
      <c r="F52" s="27"/>
      <c r="G52" s="27"/>
      <c r="H52" s="44"/>
      <c r="I52" s="49">
        <f>H52*Subsector!$S$11</f>
        <v>0</v>
      </c>
      <c r="J52" s="26">
        <f>H52*Subsector!$S$12</f>
        <v>0</v>
      </c>
      <c r="K52" s="26">
        <f>H52*Subsector!$S$13</f>
        <v>0</v>
      </c>
      <c r="L52" s="26">
        <f>H52*Subsector!$S$15</f>
        <v>0</v>
      </c>
      <c r="M52" s="26">
        <f>H52*Subsector!$S$16</f>
        <v>0</v>
      </c>
      <c r="N52" s="66">
        <f>H52*Subsector!$S$17</f>
        <v>0</v>
      </c>
      <c r="O52" s="41">
        <f t="shared" si="29"/>
        <v>0</v>
      </c>
      <c r="P52" s="26">
        <f t="shared" si="29"/>
        <v>0</v>
      </c>
      <c r="Q52" s="26">
        <f t="shared" si="30"/>
        <v>0</v>
      </c>
      <c r="R52" s="26">
        <f t="shared" si="31"/>
        <v>0</v>
      </c>
      <c r="S52" s="26">
        <f t="shared" si="32"/>
        <v>0</v>
      </c>
      <c r="T52" s="26">
        <f t="shared" si="32"/>
        <v>0</v>
      </c>
      <c r="U52" s="42">
        <f t="shared" si="33"/>
        <v>0</v>
      </c>
    </row>
    <row r="53" spans="1:21" ht="19.95" hidden="1" customHeight="1" x14ac:dyDescent="0.3">
      <c r="A53" s="52"/>
      <c r="B53" s="28"/>
      <c r="C53" s="30">
        <v>64073</v>
      </c>
      <c r="D53" s="31" t="s">
        <v>85</v>
      </c>
      <c r="E53" s="43"/>
      <c r="F53" s="27"/>
      <c r="G53" s="27"/>
      <c r="H53" s="44"/>
      <c r="I53" s="49">
        <f>H53*Subsector!$S$11</f>
        <v>0</v>
      </c>
      <c r="J53" s="26">
        <f>H53*Subsector!$S$12</f>
        <v>0</v>
      </c>
      <c r="K53" s="26">
        <f>H53*Subsector!$S$13</f>
        <v>0</v>
      </c>
      <c r="L53" s="26">
        <f>H53*Subsector!$S$15</f>
        <v>0</v>
      </c>
      <c r="M53" s="26">
        <f>H53*Subsector!$S$16</f>
        <v>0</v>
      </c>
      <c r="N53" s="66">
        <f>H53*Subsector!$S$17</f>
        <v>0</v>
      </c>
      <c r="O53" s="41">
        <f t="shared" si="29"/>
        <v>0</v>
      </c>
      <c r="P53" s="26">
        <f t="shared" si="29"/>
        <v>0</v>
      </c>
      <c r="Q53" s="26">
        <f t="shared" si="30"/>
        <v>0</v>
      </c>
      <c r="R53" s="26">
        <f t="shared" si="31"/>
        <v>0</v>
      </c>
      <c r="S53" s="26">
        <f t="shared" si="32"/>
        <v>0</v>
      </c>
      <c r="T53" s="26">
        <f t="shared" si="32"/>
        <v>0</v>
      </c>
      <c r="U53" s="42">
        <f t="shared" si="33"/>
        <v>0</v>
      </c>
    </row>
    <row r="54" spans="1:21" ht="19.95" hidden="1" customHeight="1" x14ac:dyDescent="0.3">
      <c r="A54" s="52"/>
      <c r="B54" s="24"/>
      <c r="C54" s="30">
        <v>64074</v>
      </c>
      <c r="D54" s="25" t="s">
        <v>86</v>
      </c>
      <c r="E54" s="43"/>
      <c r="F54" s="27"/>
      <c r="G54" s="27"/>
      <c r="H54" s="44"/>
      <c r="I54" s="49">
        <f>H54*Subsector!$S$11</f>
        <v>0</v>
      </c>
      <c r="J54" s="26">
        <f>H54*Subsector!$S$12</f>
        <v>0</v>
      </c>
      <c r="K54" s="26">
        <f>H54*Subsector!$S$13</f>
        <v>0</v>
      </c>
      <c r="L54" s="26">
        <f>H54*Subsector!$S$15</f>
        <v>0</v>
      </c>
      <c r="M54" s="26">
        <f>H54*Subsector!$S$16</f>
        <v>0</v>
      </c>
      <c r="N54" s="66">
        <f>H54*Subsector!$S$17</f>
        <v>0</v>
      </c>
      <c r="O54" s="41">
        <f t="shared" si="29"/>
        <v>0</v>
      </c>
      <c r="P54" s="26">
        <f t="shared" si="29"/>
        <v>0</v>
      </c>
      <c r="Q54" s="26">
        <f t="shared" si="30"/>
        <v>0</v>
      </c>
      <c r="R54" s="26">
        <f t="shared" si="31"/>
        <v>0</v>
      </c>
      <c r="S54" s="26">
        <f t="shared" si="32"/>
        <v>0</v>
      </c>
      <c r="T54" s="26">
        <f t="shared" si="32"/>
        <v>0</v>
      </c>
      <c r="U54" s="42">
        <f t="shared" si="33"/>
        <v>0</v>
      </c>
    </row>
    <row r="55" spans="1:21" ht="19.95" hidden="1" customHeight="1" x14ac:dyDescent="0.3">
      <c r="A55" s="52"/>
      <c r="B55" s="28"/>
      <c r="C55" s="30">
        <v>64075</v>
      </c>
      <c r="D55" s="31" t="s">
        <v>48</v>
      </c>
      <c r="E55" s="43"/>
      <c r="F55" s="27"/>
      <c r="G55" s="27"/>
      <c r="H55" s="44"/>
      <c r="I55" s="49">
        <f>H55*Subsector!$S$11</f>
        <v>0</v>
      </c>
      <c r="J55" s="26">
        <f>H55*Subsector!$S$12</f>
        <v>0</v>
      </c>
      <c r="K55" s="26">
        <f>H55*Subsector!$S$13</f>
        <v>0</v>
      </c>
      <c r="L55" s="26">
        <f>H55*Subsector!$S$15</f>
        <v>0</v>
      </c>
      <c r="M55" s="26">
        <f>H55*Subsector!$S$16</f>
        <v>0</v>
      </c>
      <c r="N55" s="66">
        <f>H55*Subsector!$S$17</f>
        <v>0</v>
      </c>
      <c r="O55" s="41">
        <f t="shared" si="29"/>
        <v>0</v>
      </c>
      <c r="P55" s="26">
        <f t="shared" si="29"/>
        <v>0</v>
      </c>
      <c r="Q55" s="26">
        <f t="shared" si="30"/>
        <v>0</v>
      </c>
      <c r="R55" s="26">
        <f t="shared" si="31"/>
        <v>0</v>
      </c>
      <c r="S55" s="26">
        <f t="shared" si="32"/>
        <v>0</v>
      </c>
      <c r="T55" s="26">
        <f t="shared" si="32"/>
        <v>0</v>
      </c>
      <c r="U55" s="42">
        <f t="shared" si="33"/>
        <v>0</v>
      </c>
    </row>
    <row r="56" spans="1:21" ht="19.95" hidden="1" customHeight="1" x14ac:dyDescent="0.3">
      <c r="A56" s="52"/>
      <c r="B56" s="28"/>
      <c r="C56" s="30">
        <v>64076</v>
      </c>
      <c r="D56" s="31" t="s">
        <v>49</v>
      </c>
      <c r="E56" s="43"/>
      <c r="F56" s="27"/>
      <c r="G56" s="27"/>
      <c r="H56" s="44"/>
      <c r="I56" s="49">
        <f>H56*Subsector!$S$11</f>
        <v>0</v>
      </c>
      <c r="J56" s="26">
        <f>H56*Subsector!$S$12</f>
        <v>0</v>
      </c>
      <c r="K56" s="26">
        <f>H56*Subsector!$S$13</f>
        <v>0</v>
      </c>
      <c r="L56" s="26">
        <f>H56*Subsector!$S$15</f>
        <v>0</v>
      </c>
      <c r="M56" s="26">
        <f>H56*Subsector!$S$16</f>
        <v>0</v>
      </c>
      <c r="N56" s="66">
        <f>H56*Subsector!$S$17</f>
        <v>0</v>
      </c>
      <c r="O56" s="41">
        <f t="shared" si="29"/>
        <v>0</v>
      </c>
      <c r="P56" s="26">
        <f t="shared" si="29"/>
        <v>0</v>
      </c>
      <c r="Q56" s="26">
        <f t="shared" si="30"/>
        <v>0</v>
      </c>
      <c r="R56" s="26">
        <f t="shared" si="31"/>
        <v>0</v>
      </c>
      <c r="S56" s="26">
        <f t="shared" si="32"/>
        <v>0</v>
      </c>
      <c r="T56" s="26">
        <f t="shared" si="32"/>
        <v>0</v>
      </c>
      <c r="U56" s="42">
        <f t="shared" si="33"/>
        <v>0</v>
      </c>
    </row>
    <row r="57" spans="1:21" ht="19.95" hidden="1" customHeight="1" x14ac:dyDescent="0.3">
      <c r="A57" s="52"/>
      <c r="B57" s="28"/>
      <c r="C57" s="30">
        <v>64077</v>
      </c>
      <c r="D57" s="31" t="s">
        <v>50</v>
      </c>
      <c r="E57" s="43"/>
      <c r="F57" s="27"/>
      <c r="G57" s="27"/>
      <c r="H57" s="44"/>
      <c r="I57" s="49">
        <f>H57*Subsector!$S$11</f>
        <v>0</v>
      </c>
      <c r="J57" s="26">
        <f>H57*Subsector!$S$12</f>
        <v>0</v>
      </c>
      <c r="K57" s="26">
        <f>H57*Subsector!$S$13</f>
        <v>0</v>
      </c>
      <c r="L57" s="26">
        <f>H57*Subsector!$S$15</f>
        <v>0</v>
      </c>
      <c r="M57" s="26">
        <f>H57*Subsector!$S$16</f>
        <v>0</v>
      </c>
      <c r="N57" s="66">
        <f>H57*Subsector!$S$17</f>
        <v>0</v>
      </c>
      <c r="O57" s="41">
        <f t="shared" si="29"/>
        <v>0</v>
      </c>
      <c r="P57" s="26">
        <f t="shared" si="29"/>
        <v>0</v>
      </c>
      <c r="Q57" s="26">
        <f t="shared" si="30"/>
        <v>0</v>
      </c>
      <c r="R57" s="26">
        <f t="shared" si="31"/>
        <v>0</v>
      </c>
      <c r="S57" s="26">
        <f t="shared" si="32"/>
        <v>0</v>
      </c>
      <c r="T57" s="26">
        <f t="shared" si="32"/>
        <v>0</v>
      </c>
      <c r="U57" s="42">
        <f t="shared" si="33"/>
        <v>0</v>
      </c>
    </row>
    <row r="58" spans="1:21" ht="19.95" hidden="1" customHeight="1" x14ac:dyDescent="0.3">
      <c r="A58" s="52"/>
      <c r="B58" s="28"/>
      <c r="C58" s="30">
        <v>64078</v>
      </c>
      <c r="D58" s="31" t="s">
        <v>87</v>
      </c>
      <c r="E58" s="43"/>
      <c r="F58" s="27"/>
      <c r="G58" s="27"/>
      <c r="H58" s="44"/>
      <c r="I58" s="49">
        <f>H58*Subsector!$S$11</f>
        <v>0</v>
      </c>
      <c r="J58" s="26">
        <f>H58*Subsector!$S$12</f>
        <v>0</v>
      </c>
      <c r="K58" s="26">
        <f>H58*Subsector!$S$13</f>
        <v>0</v>
      </c>
      <c r="L58" s="26">
        <f>H58*Subsector!$S$15</f>
        <v>0</v>
      </c>
      <c r="M58" s="26">
        <f>H58*Subsector!$S$16</f>
        <v>0</v>
      </c>
      <c r="N58" s="66">
        <f>H58*Subsector!$S$17</f>
        <v>0</v>
      </c>
      <c r="O58" s="41">
        <f t="shared" si="29"/>
        <v>0</v>
      </c>
      <c r="P58" s="26">
        <f t="shared" si="29"/>
        <v>0</v>
      </c>
      <c r="Q58" s="26">
        <f t="shared" si="30"/>
        <v>0</v>
      </c>
      <c r="R58" s="26">
        <f t="shared" si="31"/>
        <v>0</v>
      </c>
      <c r="S58" s="26">
        <f t="shared" si="32"/>
        <v>0</v>
      </c>
      <c r="T58" s="26">
        <f t="shared" si="32"/>
        <v>0</v>
      </c>
      <c r="U58" s="42">
        <f t="shared" si="33"/>
        <v>0</v>
      </c>
    </row>
    <row r="59" spans="1:21" ht="19.95" customHeight="1" x14ac:dyDescent="0.3">
      <c r="A59" s="51"/>
      <c r="B59" s="28">
        <v>6498</v>
      </c>
      <c r="C59" s="28"/>
      <c r="D59" s="29" t="s">
        <v>88</v>
      </c>
      <c r="E59" s="39">
        <f>SUM(E60)</f>
        <v>0</v>
      </c>
      <c r="F59" s="22">
        <f t="shared" ref="F59:U59" si="34">SUM(F60)</f>
        <v>7.5</v>
      </c>
      <c r="G59" s="22">
        <f>SUM(G60)</f>
        <v>0.1</v>
      </c>
      <c r="H59" s="40">
        <f t="shared" si="34"/>
        <v>0.5</v>
      </c>
      <c r="I59" s="36">
        <f t="shared" si="34"/>
        <v>1.7725831785633344E-3</v>
      </c>
      <c r="J59" s="22">
        <f t="shared" si="34"/>
        <v>0.30095362630664518</v>
      </c>
      <c r="K59" s="22">
        <f t="shared" si="34"/>
        <v>0.18861535335748875</v>
      </c>
      <c r="L59" s="22">
        <f t="shared" si="34"/>
        <v>6.2776274215101202E-3</v>
      </c>
      <c r="M59" s="22">
        <f t="shared" si="34"/>
        <v>0</v>
      </c>
      <c r="N59" s="65">
        <f t="shared" si="34"/>
        <v>2.3808097357926345E-3</v>
      </c>
      <c r="O59" s="39">
        <f t="shared" si="34"/>
        <v>0.1</v>
      </c>
      <c r="P59" s="22">
        <f t="shared" si="34"/>
        <v>7.8999999999999995</v>
      </c>
      <c r="Q59" s="22">
        <f t="shared" si="34"/>
        <v>0.2</v>
      </c>
      <c r="R59" s="22">
        <f t="shared" si="34"/>
        <v>0.2</v>
      </c>
      <c r="S59" s="22">
        <f t="shared" si="34"/>
        <v>0</v>
      </c>
      <c r="T59" s="22">
        <f t="shared" si="34"/>
        <v>0.1</v>
      </c>
      <c r="U59" s="40">
        <f t="shared" si="34"/>
        <v>8.4999999999999982</v>
      </c>
    </row>
    <row r="60" spans="1:21" ht="19.95" customHeight="1" thickBot="1" x14ac:dyDescent="0.35">
      <c r="A60" s="56"/>
      <c r="B60" s="57"/>
      <c r="C60" s="58">
        <v>64981</v>
      </c>
      <c r="D60" s="59" t="s">
        <v>88</v>
      </c>
      <c r="E60" s="68"/>
      <c r="F60" s="69">
        <v>7.5</v>
      </c>
      <c r="G60" s="69">
        <v>0.1</v>
      </c>
      <c r="H60" s="70">
        <v>0.5</v>
      </c>
      <c r="I60" s="63">
        <f>H60*Subsector!$S$11</f>
        <v>1.7725831785633344E-3</v>
      </c>
      <c r="J60" s="61">
        <f>H60*Subsector!$S$12</f>
        <v>0.30095362630664518</v>
      </c>
      <c r="K60" s="61">
        <f>H60*Subsector!$S$13</f>
        <v>0.18861535335748875</v>
      </c>
      <c r="L60" s="61">
        <f>H60*Subsector!$S$15</f>
        <v>6.2776274215101202E-3</v>
      </c>
      <c r="M60" s="61">
        <f>H60*Subsector!$S$16</f>
        <v>0</v>
      </c>
      <c r="N60" s="67">
        <f>H60*Subsector!$S$17</f>
        <v>2.3808097357926345E-3</v>
      </c>
      <c r="O60" s="60">
        <f>ROUNDUP(SUM(E60,I60),1)</f>
        <v>0.1</v>
      </c>
      <c r="P60" s="61">
        <f>ROUNDUP(SUM(F60,J60),1)</f>
        <v>7.8999999999999995</v>
      </c>
      <c r="Q60" s="61">
        <f>ROUNDUP(SUM(K60),1)</f>
        <v>0.2</v>
      </c>
      <c r="R60" s="61">
        <f>ROUNDUP(SUM(G60,L60),1)</f>
        <v>0.2</v>
      </c>
      <c r="S60" s="61">
        <f>ROUNDUP(SUM(M60),1)</f>
        <v>0</v>
      </c>
      <c r="T60" s="61">
        <f>ROUNDUP(SUM(N60),1)</f>
        <v>0.1</v>
      </c>
      <c r="U60" s="62">
        <f>SUM(O60:T60)</f>
        <v>8.4999999999999982</v>
      </c>
    </row>
  </sheetData>
  <sheetProtection algorithmName="SHA-512" hashValue="RcPH+NUoIVNEohhnAiIkg1eKVCfNe8EpoDh6e1XmDTw1URbDrJ/JHb0Ur513/4BggKahrotOakAdzkLWOZLGhg==" saltValue="YmNwkLR/RPWNrmVVWlG3xw==" spinCount="100000" sheet="1" formatCells="0" formatColumns="0" formatRows="0" sort="0" autoFilter="0" pivotTables="0"/>
  <mergeCells count="8">
    <mergeCell ref="A3:U3"/>
    <mergeCell ref="A5:A7"/>
    <mergeCell ref="B5:B7"/>
    <mergeCell ref="C5:C7"/>
    <mergeCell ref="D5:D7"/>
    <mergeCell ref="E5:H5"/>
    <mergeCell ref="I5:N6"/>
    <mergeCell ref="O5:U6"/>
  </mergeCells>
  <pageMargins left="0.11811023622047245" right="0.11811023622047245" top="0.74803149606299213" bottom="0.74803149606299213" header="0.31496062992125984" footer="0.31496062992125984"/>
  <pageSetup paperSize="9" scale="85" orientation="landscape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02BB7-0F6D-417D-B2D0-D597C0D9E7FD}">
  <sheetPr codeName="Sheet6"/>
  <dimension ref="A1:U60"/>
  <sheetViews>
    <sheetView zoomScale="85" zoomScaleNormal="85" workbookViewId="0">
      <selection activeCell="X8" sqref="X8"/>
    </sheetView>
  </sheetViews>
  <sheetFormatPr defaultRowHeight="14.4" x14ac:dyDescent="0.3"/>
  <cols>
    <col min="1" max="1" width="6" customWidth="1"/>
    <col min="2" max="2" width="6.5546875" customWidth="1"/>
    <col min="3" max="3" width="9.44140625" customWidth="1"/>
    <col min="4" max="4" width="39.109375" customWidth="1"/>
    <col min="5" max="5" width="4.6640625" customWidth="1"/>
    <col min="6" max="6" width="8.21875" customWidth="1"/>
    <col min="7" max="7" width="5.44140625" customWidth="1"/>
    <col min="8" max="8" width="7.21875" customWidth="1"/>
    <col min="9" max="9" width="5.21875" customWidth="1"/>
    <col min="10" max="10" width="7.109375" customWidth="1"/>
    <col min="11" max="11" width="6.44140625" customWidth="1"/>
    <col min="12" max="12" width="6.6640625" customWidth="1"/>
    <col min="13" max="13" width="5" customWidth="1"/>
    <col min="14" max="14" width="6.33203125" customWidth="1"/>
    <col min="15" max="15" width="5.21875" customWidth="1"/>
    <col min="16" max="16" width="8.21875" customWidth="1"/>
    <col min="17" max="17" width="7.21875" customWidth="1"/>
    <col min="18" max="18" width="6.44140625" customWidth="1"/>
    <col min="19" max="19" width="4.5546875" customWidth="1"/>
    <col min="20" max="20" width="5.5546875" customWidth="1"/>
    <col min="21" max="21" width="8.6640625" customWidth="1"/>
  </cols>
  <sheetData>
    <row r="1" spans="1:21" ht="21.45" customHeight="1" x14ac:dyDescent="0.3"/>
    <row r="2" spans="1:21" ht="21.45" customHeight="1" x14ac:dyDescent="0.3"/>
    <row r="3" spans="1:21" ht="36.450000000000003" customHeight="1" x14ac:dyDescent="0.3">
      <c r="A3" s="108" t="s">
        <v>103</v>
      </c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</row>
    <row r="4" spans="1:21" ht="21.45" customHeight="1" thickBot="1" x14ac:dyDescent="0.35"/>
    <row r="5" spans="1:21" ht="43.5" customHeight="1" x14ac:dyDescent="0.3">
      <c r="A5" s="123" t="s">
        <v>39</v>
      </c>
      <c r="B5" s="121" t="s">
        <v>40</v>
      </c>
      <c r="C5" s="121" t="s">
        <v>41</v>
      </c>
      <c r="D5" s="119" t="s">
        <v>42</v>
      </c>
      <c r="E5" s="125" t="s">
        <v>99</v>
      </c>
      <c r="F5" s="126"/>
      <c r="G5" s="126"/>
      <c r="H5" s="127"/>
      <c r="I5" s="140" t="s">
        <v>94</v>
      </c>
      <c r="J5" s="141"/>
      <c r="K5" s="141"/>
      <c r="L5" s="141"/>
      <c r="M5" s="141"/>
      <c r="N5" s="142"/>
      <c r="O5" s="134" t="s">
        <v>95</v>
      </c>
      <c r="P5" s="135"/>
      <c r="Q5" s="135"/>
      <c r="R5" s="135"/>
      <c r="S5" s="135"/>
      <c r="T5" s="135"/>
      <c r="U5" s="136"/>
    </row>
    <row r="6" spans="1:21" ht="43.05" customHeight="1" x14ac:dyDescent="0.8">
      <c r="A6" s="124"/>
      <c r="B6" s="122"/>
      <c r="C6" s="122"/>
      <c r="D6" s="120"/>
      <c r="E6" s="45"/>
      <c r="F6" s="46"/>
      <c r="G6" s="46"/>
      <c r="H6" s="47"/>
      <c r="I6" s="143"/>
      <c r="J6" s="144"/>
      <c r="K6" s="144"/>
      <c r="L6" s="144"/>
      <c r="M6" s="144"/>
      <c r="N6" s="145"/>
      <c r="O6" s="137"/>
      <c r="P6" s="138"/>
      <c r="Q6" s="138"/>
      <c r="R6" s="138"/>
      <c r="S6" s="138"/>
      <c r="T6" s="138"/>
      <c r="U6" s="139"/>
    </row>
    <row r="7" spans="1:21" ht="132.44999999999999" customHeight="1" x14ac:dyDescent="0.3">
      <c r="A7" s="124"/>
      <c r="B7" s="122"/>
      <c r="C7" s="122"/>
      <c r="D7" s="120"/>
      <c r="E7" s="146" t="s">
        <v>25</v>
      </c>
      <c r="F7" s="147" t="s">
        <v>26</v>
      </c>
      <c r="G7" s="147" t="s">
        <v>29</v>
      </c>
      <c r="H7" s="148" t="s">
        <v>91</v>
      </c>
      <c r="I7" s="149" t="s">
        <v>25</v>
      </c>
      <c r="J7" s="150" t="s">
        <v>26</v>
      </c>
      <c r="K7" s="150" t="s">
        <v>27</v>
      </c>
      <c r="L7" s="150" t="s">
        <v>29</v>
      </c>
      <c r="M7" s="150" t="s">
        <v>30</v>
      </c>
      <c r="N7" s="151" t="s">
        <v>31</v>
      </c>
      <c r="O7" s="152" t="s">
        <v>25</v>
      </c>
      <c r="P7" s="153" t="s">
        <v>26</v>
      </c>
      <c r="Q7" s="153" t="s">
        <v>27</v>
      </c>
      <c r="R7" s="153" t="s">
        <v>29</v>
      </c>
      <c r="S7" s="153" t="s">
        <v>30</v>
      </c>
      <c r="T7" s="153" t="s">
        <v>31</v>
      </c>
      <c r="U7" s="154" t="s">
        <v>12</v>
      </c>
    </row>
    <row r="8" spans="1:21" ht="19.95" customHeight="1" x14ac:dyDescent="0.3">
      <c r="A8" s="50">
        <v>64</v>
      </c>
      <c r="B8" s="32"/>
      <c r="C8" s="32"/>
      <c r="D8" s="33" t="s">
        <v>43</v>
      </c>
      <c r="E8" s="37">
        <f>SUM(E9,E18,E27,E33,E37,E45,E50,E59)</f>
        <v>0</v>
      </c>
      <c r="F8" s="34">
        <f t="shared" ref="F8:U8" si="0">SUM(F9,F18,F27,F33,F37,F45,F50,F59)</f>
        <v>2790.4999999999995</v>
      </c>
      <c r="G8" s="34">
        <f t="shared" si="0"/>
        <v>60.4</v>
      </c>
      <c r="H8" s="38">
        <f t="shared" si="0"/>
        <v>196.7</v>
      </c>
      <c r="I8" s="35">
        <f t="shared" si="0"/>
        <v>0.69733422244681575</v>
      </c>
      <c r="J8" s="34">
        <f t="shared" si="0"/>
        <v>118.3951565890342</v>
      </c>
      <c r="K8" s="34">
        <f t="shared" si="0"/>
        <v>74.201280010836072</v>
      </c>
      <c r="L8" s="34">
        <f t="shared" si="0"/>
        <v>2.4696186276220811</v>
      </c>
      <c r="M8" s="34">
        <f t="shared" si="0"/>
        <v>0</v>
      </c>
      <c r="N8" s="64">
        <f t="shared" si="0"/>
        <v>0.9366105500608225</v>
      </c>
      <c r="O8" s="37">
        <f t="shared" si="0"/>
        <v>1.2000000000000002</v>
      </c>
      <c r="P8" s="34">
        <f t="shared" si="0"/>
        <v>2909.3</v>
      </c>
      <c r="Q8" s="34">
        <f t="shared" si="0"/>
        <v>74.500000000000014</v>
      </c>
      <c r="R8" s="34">
        <f t="shared" si="0"/>
        <v>63.300000000000004</v>
      </c>
      <c r="S8" s="34">
        <f t="shared" si="0"/>
        <v>0</v>
      </c>
      <c r="T8" s="34">
        <f t="shared" si="0"/>
        <v>1.4000000000000001</v>
      </c>
      <c r="U8" s="38">
        <f t="shared" si="0"/>
        <v>3049.7</v>
      </c>
    </row>
    <row r="9" spans="1:21" ht="19.95" hidden="1" customHeight="1" x14ac:dyDescent="0.3">
      <c r="A9" s="51"/>
      <c r="B9" s="23">
        <v>6401</v>
      </c>
      <c r="C9" s="23"/>
      <c r="D9" s="21" t="s">
        <v>90</v>
      </c>
      <c r="E9" s="39">
        <f>SUM(E10:E17)</f>
        <v>0</v>
      </c>
      <c r="F9" s="22">
        <f>SUM(F10:F17)</f>
        <v>0</v>
      </c>
      <c r="G9" s="22">
        <f t="shared" ref="G9:U9" si="1">SUM(G10:G17)</f>
        <v>0</v>
      </c>
      <c r="H9" s="40">
        <f t="shared" si="1"/>
        <v>0</v>
      </c>
      <c r="I9" s="36">
        <f t="shared" si="1"/>
        <v>0</v>
      </c>
      <c r="J9" s="22">
        <f t="shared" si="1"/>
        <v>0</v>
      </c>
      <c r="K9" s="22">
        <f t="shared" si="1"/>
        <v>0</v>
      </c>
      <c r="L9" s="22">
        <f t="shared" si="1"/>
        <v>0</v>
      </c>
      <c r="M9" s="22">
        <f t="shared" si="1"/>
        <v>0</v>
      </c>
      <c r="N9" s="65">
        <f t="shared" si="1"/>
        <v>0</v>
      </c>
      <c r="O9" s="39">
        <f>SUM(O10:O17)</f>
        <v>0</v>
      </c>
      <c r="P9" s="22">
        <f t="shared" si="1"/>
        <v>0</v>
      </c>
      <c r="Q9" s="22">
        <f t="shared" si="1"/>
        <v>0</v>
      </c>
      <c r="R9" s="22">
        <f t="shared" si="1"/>
        <v>0</v>
      </c>
      <c r="S9" s="22">
        <f t="shared" si="1"/>
        <v>0</v>
      </c>
      <c r="T9" s="22">
        <f t="shared" si="1"/>
        <v>0</v>
      </c>
      <c r="U9" s="40">
        <f t="shared" si="1"/>
        <v>0</v>
      </c>
    </row>
    <row r="10" spans="1:21" ht="19.95" hidden="1" customHeight="1" x14ac:dyDescent="0.3">
      <c r="A10" s="52"/>
      <c r="B10" s="24"/>
      <c r="C10" s="24">
        <v>64011</v>
      </c>
      <c r="D10" s="25" t="s">
        <v>44</v>
      </c>
      <c r="E10" s="43"/>
      <c r="F10" s="27"/>
      <c r="G10" s="27"/>
      <c r="H10" s="44"/>
      <c r="I10" s="49">
        <f>H10*Subsector!$S$11</f>
        <v>0</v>
      </c>
      <c r="J10" s="26">
        <f>H10*Subsector!$S$12</f>
        <v>0</v>
      </c>
      <c r="K10" s="26">
        <f>H10*Subsector!$S$13</f>
        <v>0</v>
      </c>
      <c r="L10" s="26">
        <f>H10*Subsector!$S$15</f>
        <v>0</v>
      </c>
      <c r="M10" s="26">
        <f>H10*Subsector!$S$16</f>
        <v>0</v>
      </c>
      <c r="N10" s="66">
        <f>H10*Subsector!$S$17</f>
        <v>0</v>
      </c>
      <c r="O10" s="41">
        <f t="shared" ref="O10:P17" si="2">ROUNDUP(SUM(E10,I10),1)</f>
        <v>0</v>
      </c>
      <c r="P10" s="26">
        <f t="shared" si="2"/>
        <v>0</v>
      </c>
      <c r="Q10" s="26">
        <f t="shared" ref="Q10:Q17" si="3">ROUNDUP(SUM(K10),1)</f>
        <v>0</v>
      </c>
      <c r="R10" s="26">
        <f t="shared" ref="R10:R17" si="4">ROUNDUP(SUM(G10,L10),1)</f>
        <v>0</v>
      </c>
      <c r="S10" s="26">
        <f t="shared" ref="S10:T17" si="5">ROUNDUP(SUM(M10),1)</f>
        <v>0</v>
      </c>
      <c r="T10" s="26">
        <f t="shared" si="5"/>
        <v>0</v>
      </c>
      <c r="U10" s="42">
        <f t="shared" ref="U10:U17" si="6">SUM(O10:T10)</f>
        <v>0</v>
      </c>
    </row>
    <row r="11" spans="1:21" ht="19.95" hidden="1" customHeight="1" x14ac:dyDescent="0.3">
      <c r="A11" s="52"/>
      <c r="B11" s="24"/>
      <c r="C11" s="24">
        <v>64012</v>
      </c>
      <c r="D11" s="25" t="s">
        <v>89</v>
      </c>
      <c r="E11" s="43"/>
      <c r="F11" s="27"/>
      <c r="G11" s="27"/>
      <c r="H11" s="44"/>
      <c r="I11" s="49">
        <f>H11*Subsector!$S$11</f>
        <v>0</v>
      </c>
      <c r="J11" s="26">
        <f>H11*Subsector!$S$12</f>
        <v>0</v>
      </c>
      <c r="K11" s="26">
        <f>H11*Subsector!$S$13</f>
        <v>0</v>
      </c>
      <c r="L11" s="26">
        <f>H11*Subsector!$S$15</f>
        <v>0</v>
      </c>
      <c r="M11" s="26">
        <f>H11*Subsector!$S$16</f>
        <v>0</v>
      </c>
      <c r="N11" s="66">
        <f>H11*Subsector!$S$17</f>
        <v>0</v>
      </c>
      <c r="O11" s="41">
        <f t="shared" si="2"/>
        <v>0</v>
      </c>
      <c r="P11" s="26">
        <f t="shared" si="2"/>
        <v>0</v>
      </c>
      <c r="Q11" s="26">
        <f t="shared" si="3"/>
        <v>0</v>
      </c>
      <c r="R11" s="26">
        <f t="shared" si="4"/>
        <v>0</v>
      </c>
      <c r="S11" s="26">
        <f t="shared" si="5"/>
        <v>0</v>
      </c>
      <c r="T11" s="26">
        <f t="shared" si="5"/>
        <v>0</v>
      </c>
      <c r="U11" s="42">
        <f t="shared" si="6"/>
        <v>0</v>
      </c>
    </row>
    <row r="12" spans="1:21" ht="19.95" hidden="1" customHeight="1" x14ac:dyDescent="0.3">
      <c r="A12" s="52"/>
      <c r="B12" s="24"/>
      <c r="C12" s="24">
        <v>64013</v>
      </c>
      <c r="D12" s="25" t="s">
        <v>45</v>
      </c>
      <c r="E12" s="43">
        <v>0</v>
      </c>
      <c r="F12" s="27">
        <v>0</v>
      </c>
      <c r="G12" s="27">
        <v>0</v>
      </c>
      <c r="H12" s="44">
        <v>0</v>
      </c>
      <c r="I12" s="49">
        <f>H12*Subsector!$S$11</f>
        <v>0</v>
      </c>
      <c r="J12" s="26">
        <f>H12*Subsector!$S$12</f>
        <v>0</v>
      </c>
      <c r="K12" s="26">
        <f>H12*Subsector!$S$13</f>
        <v>0</v>
      </c>
      <c r="L12" s="26">
        <f>H12*Subsector!$S$15</f>
        <v>0</v>
      </c>
      <c r="M12" s="26">
        <f>H12*Subsector!$S$16</f>
        <v>0</v>
      </c>
      <c r="N12" s="66">
        <f>H12*Subsector!$S$17</f>
        <v>0</v>
      </c>
      <c r="O12" s="41">
        <f t="shared" si="2"/>
        <v>0</v>
      </c>
      <c r="P12" s="26">
        <f t="shared" si="2"/>
        <v>0</v>
      </c>
      <c r="Q12" s="26">
        <f t="shared" si="3"/>
        <v>0</v>
      </c>
      <c r="R12" s="26">
        <f t="shared" si="4"/>
        <v>0</v>
      </c>
      <c r="S12" s="26">
        <f t="shared" si="5"/>
        <v>0</v>
      </c>
      <c r="T12" s="26">
        <f t="shared" si="5"/>
        <v>0</v>
      </c>
      <c r="U12" s="42">
        <f t="shared" si="6"/>
        <v>0</v>
      </c>
    </row>
    <row r="13" spans="1:21" ht="19.95" hidden="1" customHeight="1" x14ac:dyDescent="0.3">
      <c r="A13" s="52"/>
      <c r="B13" s="24"/>
      <c r="C13" s="24">
        <v>64014</v>
      </c>
      <c r="D13" s="25" t="s">
        <v>46</v>
      </c>
      <c r="E13" s="43">
        <v>0</v>
      </c>
      <c r="F13" s="27">
        <v>0</v>
      </c>
      <c r="G13" s="27">
        <v>0</v>
      </c>
      <c r="H13" s="44">
        <v>0</v>
      </c>
      <c r="I13" s="49">
        <f>H13*Subsector!$S$11</f>
        <v>0</v>
      </c>
      <c r="J13" s="26">
        <f>H13*Subsector!$S$12</f>
        <v>0</v>
      </c>
      <c r="K13" s="26">
        <f>H13*Subsector!$S$13</f>
        <v>0</v>
      </c>
      <c r="L13" s="26">
        <f>H13*Subsector!$S$15</f>
        <v>0</v>
      </c>
      <c r="M13" s="26">
        <f>H13*Subsector!$S$16</f>
        <v>0</v>
      </c>
      <c r="N13" s="66">
        <f>H13*Subsector!$S$17</f>
        <v>0</v>
      </c>
      <c r="O13" s="41">
        <f t="shared" si="2"/>
        <v>0</v>
      </c>
      <c r="P13" s="26">
        <f t="shared" si="2"/>
        <v>0</v>
      </c>
      <c r="Q13" s="26">
        <f t="shared" si="3"/>
        <v>0</v>
      </c>
      <c r="R13" s="26">
        <f t="shared" si="4"/>
        <v>0</v>
      </c>
      <c r="S13" s="26">
        <f t="shared" si="5"/>
        <v>0</v>
      </c>
      <c r="T13" s="26">
        <f t="shared" si="5"/>
        <v>0</v>
      </c>
      <c r="U13" s="42">
        <f t="shared" si="6"/>
        <v>0</v>
      </c>
    </row>
    <row r="14" spans="1:21" ht="19.95" hidden="1" customHeight="1" x14ac:dyDescent="0.3">
      <c r="A14" s="52"/>
      <c r="B14" s="24"/>
      <c r="C14" s="24">
        <v>64015</v>
      </c>
      <c r="D14" s="25" t="s">
        <v>47</v>
      </c>
      <c r="E14" s="43"/>
      <c r="F14" s="27"/>
      <c r="G14" s="27"/>
      <c r="H14" s="44"/>
      <c r="I14" s="49">
        <f>H14*Subsector!$S$11</f>
        <v>0</v>
      </c>
      <c r="J14" s="26">
        <f>H14*Subsector!$S$12</f>
        <v>0</v>
      </c>
      <c r="K14" s="26">
        <f>H14*Subsector!$S$13</f>
        <v>0</v>
      </c>
      <c r="L14" s="26">
        <f>H14*Subsector!$S$15</f>
        <v>0</v>
      </c>
      <c r="M14" s="26">
        <f>H14*Subsector!$S$16</f>
        <v>0</v>
      </c>
      <c r="N14" s="66">
        <f>H14*Subsector!$S$17</f>
        <v>0</v>
      </c>
      <c r="O14" s="41">
        <f t="shared" si="2"/>
        <v>0</v>
      </c>
      <c r="P14" s="26">
        <f t="shared" si="2"/>
        <v>0</v>
      </c>
      <c r="Q14" s="26">
        <f t="shared" si="3"/>
        <v>0</v>
      </c>
      <c r="R14" s="26">
        <f t="shared" si="4"/>
        <v>0</v>
      </c>
      <c r="S14" s="26">
        <f t="shared" si="5"/>
        <v>0</v>
      </c>
      <c r="T14" s="26">
        <f t="shared" si="5"/>
        <v>0</v>
      </c>
      <c r="U14" s="42">
        <f t="shared" si="6"/>
        <v>0</v>
      </c>
    </row>
    <row r="15" spans="1:21" ht="19.95" hidden="1" customHeight="1" x14ac:dyDescent="0.3">
      <c r="A15" s="52"/>
      <c r="B15" s="24"/>
      <c r="C15" s="24">
        <v>64016</v>
      </c>
      <c r="D15" s="25" t="s">
        <v>48</v>
      </c>
      <c r="E15" s="43"/>
      <c r="F15" s="27"/>
      <c r="G15" s="27"/>
      <c r="H15" s="44"/>
      <c r="I15" s="49">
        <f>H15*Subsector!$S$11</f>
        <v>0</v>
      </c>
      <c r="J15" s="26">
        <f>H15*Subsector!$S$12</f>
        <v>0</v>
      </c>
      <c r="K15" s="26">
        <f>H15*Subsector!$S$13</f>
        <v>0</v>
      </c>
      <c r="L15" s="26">
        <f>H15*Subsector!$S$15</f>
        <v>0</v>
      </c>
      <c r="M15" s="26">
        <f>H15*Subsector!$S$16</f>
        <v>0</v>
      </c>
      <c r="N15" s="66">
        <f>H15*Subsector!$S$17</f>
        <v>0</v>
      </c>
      <c r="O15" s="41">
        <f t="shared" si="2"/>
        <v>0</v>
      </c>
      <c r="P15" s="26">
        <f t="shared" si="2"/>
        <v>0</v>
      </c>
      <c r="Q15" s="26">
        <f t="shared" si="3"/>
        <v>0</v>
      </c>
      <c r="R15" s="26">
        <f t="shared" si="4"/>
        <v>0</v>
      </c>
      <c r="S15" s="26">
        <f t="shared" si="5"/>
        <v>0</v>
      </c>
      <c r="T15" s="26">
        <f t="shared" si="5"/>
        <v>0</v>
      </c>
      <c r="U15" s="42">
        <f t="shared" si="6"/>
        <v>0</v>
      </c>
    </row>
    <row r="16" spans="1:21" ht="19.95" hidden="1" customHeight="1" x14ac:dyDescent="0.3">
      <c r="A16" s="52"/>
      <c r="B16" s="24"/>
      <c r="C16" s="24">
        <v>64017</v>
      </c>
      <c r="D16" s="25" t="s">
        <v>49</v>
      </c>
      <c r="E16" s="43"/>
      <c r="F16" s="27"/>
      <c r="G16" s="27"/>
      <c r="H16" s="44"/>
      <c r="I16" s="49">
        <f>H16*Subsector!$S$11</f>
        <v>0</v>
      </c>
      <c r="J16" s="26">
        <f>H16*Subsector!$S$12</f>
        <v>0</v>
      </c>
      <c r="K16" s="26">
        <f>H16*Subsector!$S$13</f>
        <v>0</v>
      </c>
      <c r="L16" s="26">
        <f>H16*Subsector!$S$15</f>
        <v>0</v>
      </c>
      <c r="M16" s="26">
        <f>H16*Subsector!$S$16</f>
        <v>0</v>
      </c>
      <c r="N16" s="66">
        <f>H16*Subsector!$S$17</f>
        <v>0</v>
      </c>
      <c r="O16" s="41">
        <f t="shared" si="2"/>
        <v>0</v>
      </c>
      <c r="P16" s="26">
        <f t="shared" si="2"/>
        <v>0</v>
      </c>
      <c r="Q16" s="26">
        <f t="shared" si="3"/>
        <v>0</v>
      </c>
      <c r="R16" s="26">
        <f t="shared" si="4"/>
        <v>0</v>
      </c>
      <c r="S16" s="26">
        <f t="shared" si="5"/>
        <v>0</v>
      </c>
      <c r="T16" s="26">
        <f t="shared" si="5"/>
        <v>0</v>
      </c>
      <c r="U16" s="42">
        <f t="shared" si="6"/>
        <v>0</v>
      </c>
    </row>
    <row r="17" spans="1:21" ht="19.95" hidden="1" customHeight="1" x14ac:dyDescent="0.3">
      <c r="A17" s="52"/>
      <c r="B17" s="24"/>
      <c r="C17" s="24">
        <v>64018</v>
      </c>
      <c r="D17" s="25" t="s">
        <v>50</v>
      </c>
      <c r="E17" s="43"/>
      <c r="F17" s="27"/>
      <c r="G17" s="27"/>
      <c r="H17" s="44"/>
      <c r="I17" s="49">
        <f>H17*Subsector!$S$11</f>
        <v>0</v>
      </c>
      <c r="J17" s="26">
        <f>H17*Subsector!$S$12</f>
        <v>0</v>
      </c>
      <c r="K17" s="26">
        <f>H17*Subsector!$S$13</f>
        <v>0</v>
      </c>
      <c r="L17" s="26">
        <f>H17*Subsector!$S$15</f>
        <v>0</v>
      </c>
      <c r="M17" s="26">
        <f>H17*Subsector!$S$16</f>
        <v>0</v>
      </c>
      <c r="N17" s="66">
        <f>H17*Subsector!$S$17</f>
        <v>0</v>
      </c>
      <c r="O17" s="41">
        <f t="shared" si="2"/>
        <v>0</v>
      </c>
      <c r="P17" s="26">
        <f t="shared" si="2"/>
        <v>0</v>
      </c>
      <c r="Q17" s="26">
        <f t="shared" si="3"/>
        <v>0</v>
      </c>
      <c r="R17" s="26">
        <f t="shared" si="4"/>
        <v>0</v>
      </c>
      <c r="S17" s="26">
        <f t="shared" si="5"/>
        <v>0</v>
      </c>
      <c r="T17" s="26">
        <f t="shared" si="5"/>
        <v>0</v>
      </c>
      <c r="U17" s="42">
        <f t="shared" si="6"/>
        <v>0</v>
      </c>
    </row>
    <row r="18" spans="1:21" ht="19.95" customHeight="1" x14ac:dyDescent="0.3">
      <c r="A18" s="51"/>
      <c r="B18" s="23">
        <v>6402</v>
      </c>
      <c r="C18" s="23"/>
      <c r="D18" s="21" t="s">
        <v>51</v>
      </c>
      <c r="E18" s="39">
        <f>SUM(E19:E26)</f>
        <v>0</v>
      </c>
      <c r="F18" s="22">
        <f t="shared" ref="F18:U18" si="7">SUM(F19:F26)</f>
        <v>2715.4</v>
      </c>
      <c r="G18" s="22">
        <f t="shared" si="7"/>
        <v>0</v>
      </c>
      <c r="H18" s="40">
        <f t="shared" si="7"/>
        <v>194.2</v>
      </c>
      <c r="I18" s="36">
        <f t="shared" si="7"/>
        <v>0.68847130655399902</v>
      </c>
      <c r="J18" s="22">
        <f t="shared" si="7"/>
        <v>116.89038845750098</v>
      </c>
      <c r="K18" s="22">
        <f t="shared" si="7"/>
        <v>73.25820324404863</v>
      </c>
      <c r="L18" s="22">
        <f t="shared" si="7"/>
        <v>2.4382304905145307</v>
      </c>
      <c r="M18" s="22">
        <f t="shared" si="7"/>
        <v>0</v>
      </c>
      <c r="N18" s="65">
        <f t="shared" si="7"/>
        <v>0.92470650138185928</v>
      </c>
      <c r="O18" s="39">
        <f t="shared" si="7"/>
        <v>0.9</v>
      </c>
      <c r="P18" s="22">
        <f t="shared" si="7"/>
        <v>2832.5</v>
      </c>
      <c r="Q18" s="22">
        <f t="shared" si="7"/>
        <v>73.400000000000006</v>
      </c>
      <c r="R18" s="22">
        <f t="shared" si="7"/>
        <v>2.6000000000000005</v>
      </c>
      <c r="S18" s="22">
        <f t="shared" si="7"/>
        <v>0</v>
      </c>
      <c r="T18" s="22">
        <f t="shared" si="7"/>
        <v>1.1000000000000001</v>
      </c>
      <c r="U18" s="40">
        <f t="shared" si="7"/>
        <v>2910.5</v>
      </c>
    </row>
    <row r="19" spans="1:21" ht="19.95" customHeight="1" x14ac:dyDescent="0.3">
      <c r="A19" s="52"/>
      <c r="B19" s="24"/>
      <c r="C19" s="24">
        <v>64021</v>
      </c>
      <c r="D19" s="25" t="s">
        <v>52</v>
      </c>
      <c r="E19" s="43"/>
      <c r="F19" s="27">
        <v>1310.0999999999999</v>
      </c>
      <c r="G19" s="27">
        <v>0</v>
      </c>
      <c r="H19" s="44">
        <v>96.6</v>
      </c>
      <c r="I19" s="49">
        <f>H19*Subsector!$S$11</f>
        <v>0.34246307009843618</v>
      </c>
      <c r="J19" s="26">
        <f>H19*Subsector!$S$12</f>
        <v>58.144240602443844</v>
      </c>
      <c r="K19" s="26">
        <f>H19*Subsector!$S$13</f>
        <v>36.440486268666824</v>
      </c>
      <c r="L19" s="26">
        <f>H19*Subsector!$S$15</f>
        <v>1.2128376178357552</v>
      </c>
      <c r="M19" s="26">
        <f>H19*Subsector!$S$16</f>
        <v>0</v>
      </c>
      <c r="N19" s="66">
        <f>H19*Subsector!$S$17</f>
        <v>0.45997244095513695</v>
      </c>
      <c r="O19" s="41">
        <f t="shared" ref="O19:P26" si="8">ROUNDUP(SUM(E19,I19),1)</f>
        <v>0.4</v>
      </c>
      <c r="P19" s="26">
        <f t="shared" si="8"/>
        <v>1368.3</v>
      </c>
      <c r="Q19" s="26">
        <f t="shared" ref="Q19:Q26" si="9">ROUNDUP(SUM(K19),1)</f>
        <v>36.5</v>
      </c>
      <c r="R19" s="26">
        <f t="shared" ref="R19:R26" si="10">ROUNDUP(SUM(G19,L19),1)</f>
        <v>1.3</v>
      </c>
      <c r="S19" s="26">
        <f t="shared" ref="S19:T26" si="11">ROUNDUP(SUM(M19),1)</f>
        <v>0</v>
      </c>
      <c r="T19" s="26">
        <f t="shared" si="11"/>
        <v>0.5</v>
      </c>
      <c r="U19" s="42">
        <f t="shared" ref="U19:U26" si="12">SUM(O19:T19)</f>
        <v>1407</v>
      </c>
    </row>
    <row r="20" spans="1:21" ht="19.95" customHeight="1" x14ac:dyDescent="0.3">
      <c r="A20" s="52"/>
      <c r="B20" s="24"/>
      <c r="C20" s="24">
        <v>64022</v>
      </c>
      <c r="D20" s="25" t="s">
        <v>53</v>
      </c>
      <c r="E20" s="43"/>
      <c r="F20" s="27">
        <v>1218.3999999999999</v>
      </c>
      <c r="G20" s="27">
        <v>0</v>
      </c>
      <c r="H20" s="44">
        <v>86.8</v>
      </c>
      <c r="I20" s="49">
        <f>H20*Subsector!$S$11</f>
        <v>0.30772043979859481</v>
      </c>
      <c r="J20" s="26">
        <f>H20*Subsector!$S$12</f>
        <v>52.245549526833599</v>
      </c>
      <c r="K20" s="26">
        <f>H20*Subsector!$S$13</f>
        <v>32.743625342860042</v>
      </c>
      <c r="L20" s="26">
        <f>H20*Subsector!$S$15</f>
        <v>1.0897961203741569</v>
      </c>
      <c r="M20" s="26">
        <f>H20*Subsector!$S$16</f>
        <v>0</v>
      </c>
      <c r="N20" s="66">
        <f>H20*Subsector!$S$17</f>
        <v>0.41330857013360134</v>
      </c>
      <c r="O20" s="41">
        <f t="shared" si="8"/>
        <v>0.4</v>
      </c>
      <c r="P20" s="26">
        <f t="shared" si="8"/>
        <v>1270.6999999999998</v>
      </c>
      <c r="Q20" s="26">
        <f t="shared" si="9"/>
        <v>32.800000000000004</v>
      </c>
      <c r="R20" s="26">
        <f t="shared" si="10"/>
        <v>1.1000000000000001</v>
      </c>
      <c r="S20" s="26">
        <f t="shared" si="11"/>
        <v>0</v>
      </c>
      <c r="T20" s="26">
        <f t="shared" si="11"/>
        <v>0.5</v>
      </c>
      <c r="U20" s="42">
        <f t="shared" si="12"/>
        <v>1305.4999999999998</v>
      </c>
    </row>
    <row r="21" spans="1:21" ht="19.95" customHeight="1" x14ac:dyDescent="0.3">
      <c r="A21" s="52"/>
      <c r="B21" s="24"/>
      <c r="C21" s="24">
        <v>64023</v>
      </c>
      <c r="D21" s="25" t="s">
        <v>54</v>
      </c>
      <c r="E21" s="43"/>
      <c r="F21" s="27">
        <v>27</v>
      </c>
      <c r="G21" s="27">
        <v>0</v>
      </c>
      <c r="H21" s="44">
        <v>0</v>
      </c>
      <c r="I21" s="49">
        <f>H21*Subsector!$S$11</f>
        <v>0</v>
      </c>
      <c r="J21" s="26">
        <f>H21*Subsector!$S$12</f>
        <v>0</v>
      </c>
      <c r="K21" s="26">
        <f>H21*Subsector!$S$13</f>
        <v>0</v>
      </c>
      <c r="L21" s="26">
        <f>H21*Subsector!$S$15</f>
        <v>0</v>
      </c>
      <c r="M21" s="26">
        <f>H21*Subsector!$S$16</f>
        <v>0</v>
      </c>
      <c r="N21" s="66">
        <f>H21*Subsector!$S$17</f>
        <v>0</v>
      </c>
      <c r="O21" s="41">
        <f t="shared" si="8"/>
        <v>0</v>
      </c>
      <c r="P21" s="26">
        <f t="shared" si="8"/>
        <v>27</v>
      </c>
      <c r="Q21" s="26">
        <f t="shared" si="9"/>
        <v>0</v>
      </c>
      <c r="R21" s="26">
        <f t="shared" si="10"/>
        <v>0</v>
      </c>
      <c r="S21" s="26">
        <f t="shared" si="11"/>
        <v>0</v>
      </c>
      <c r="T21" s="26">
        <f t="shared" si="11"/>
        <v>0</v>
      </c>
      <c r="U21" s="42">
        <f t="shared" si="12"/>
        <v>27</v>
      </c>
    </row>
    <row r="22" spans="1:21" ht="19.95" hidden="1" customHeight="1" x14ac:dyDescent="0.3">
      <c r="A22" s="52"/>
      <c r="B22" s="24"/>
      <c r="C22" s="24">
        <v>64024</v>
      </c>
      <c r="D22" s="25" t="s">
        <v>55</v>
      </c>
      <c r="E22" s="43"/>
      <c r="F22" s="27"/>
      <c r="G22" s="27"/>
      <c r="H22" s="44"/>
      <c r="I22" s="49">
        <f>H22*Subsector!$S$11</f>
        <v>0</v>
      </c>
      <c r="J22" s="26">
        <f>H22*Subsector!$S$12</f>
        <v>0</v>
      </c>
      <c r="K22" s="26">
        <f>H22*Subsector!$S$13</f>
        <v>0</v>
      </c>
      <c r="L22" s="26">
        <f>H22*Subsector!$S$15</f>
        <v>0</v>
      </c>
      <c r="M22" s="26">
        <f>H22*Subsector!$S$16</f>
        <v>0</v>
      </c>
      <c r="N22" s="66">
        <f>H22*Subsector!$S$17</f>
        <v>0</v>
      </c>
      <c r="O22" s="41">
        <f t="shared" si="8"/>
        <v>0</v>
      </c>
      <c r="P22" s="26">
        <f t="shared" si="8"/>
        <v>0</v>
      </c>
      <c r="Q22" s="26">
        <f t="shared" si="9"/>
        <v>0</v>
      </c>
      <c r="R22" s="26">
        <f t="shared" si="10"/>
        <v>0</v>
      </c>
      <c r="S22" s="26">
        <f t="shared" si="11"/>
        <v>0</v>
      </c>
      <c r="T22" s="26">
        <f t="shared" si="11"/>
        <v>0</v>
      </c>
      <c r="U22" s="42">
        <f t="shared" si="12"/>
        <v>0</v>
      </c>
    </row>
    <row r="23" spans="1:21" ht="19.95" hidden="1" customHeight="1" x14ac:dyDescent="0.3">
      <c r="A23" s="52"/>
      <c r="B23" s="24"/>
      <c r="C23" s="24">
        <v>64025</v>
      </c>
      <c r="D23" s="25" t="s">
        <v>56</v>
      </c>
      <c r="E23" s="43"/>
      <c r="F23" s="27"/>
      <c r="G23" s="27"/>
      <c r="H23" s="44"/>
      <c r="I23" s="49">
        <f>H23*Subsector!$S$11</f>
        <v>0</v>
      </c>
      <c r="J23" s="26">
        <f>H23*Subsector!$S$12</f>
        <v>0</v>
      </c>
      <c r="K23" s="26">
        <f>H23*Subsector!$S$13</f>
        <v>0</v>
      </c>
      <c r="L23" s="26">
        <f>H23*Subsector!$S$15</f>
        <v>0</v>
      </c>
      <c r="M23" s="26">
        <f>H23*Subsector!$S$16</f>
        <v>0</v>
      </c>
      <c r="N23" s="66">
        <f>H23*Subsector!$S$17</f>
        <v>0</v>
      </c>
      <c r="O23" s="41">
        <f t="shared" si="8"/>
        <v>0</v>
      </c>
      <c r="P23" s="26">
        <f t="shared" si="8"/>
        <v>0</v>
      </c>
      <c r="Q23" s="26">
        <f t="shared" si="9"/>
        <v>0</v>
      </c>
      <c r="R23" s="26">
        <f t="shared" si="10"/>
        <v>0</v>
      </c>
      <c r="S23" s="26">
        <f t="shared" si="11"/>
        <v>0</v>
      </c>
      <c r="T23" s="26">
        <f t="shared" si="11"/>
        <v>0</v>
      </c>
      <c r="U23" s="42">
        <f t="shared" si="12"/>
        <v>0</v>
      </c>
    </row>
    <row r="24" spans="1:21" ht="19.95" customHeight="1" x14ac:dyDescent="0.3">
      <c r="A24" s="52"/>
      <c r="B24" s="24"/>
      <c r="C24" s="24">
        <v>64026</v>
      </c>
      <c r="D24" s="25" t="s">
        <v>57</v>
      </c>
      <c r="E24" s="43"/>
      <c r="F24" s="27">
        <v>159.9</v>
      </c>
      <c r="G24" s="27">
        <v>0</v>
      </c>
      <c r="H24" s="44">
        <v>10.8</v>
      </c>
      <c r="I24" s="49">
        <f>H24*Subsector!$S$11</f>
        <v>3.8287796656968028E-2</v>
      </c>
      <c r="J24" s="26">
        <f>H24*Subsector!$S$12</f>
        <v>6.5005983282235364</v>
      </c>
      <c r="K24" s="26">
        <f>H24*Subsector!$S$13</f>
        <v>4.0740916325217569</v>
      </c>
      <c r="L24" s="26">
        <f>H24*Subsector!$S$15</f>
        <v>0.1355967523046186</v>
      </c>
      <c r="M24" s="26">
        <f>H24*Subsector!$S$16</f>
        <v>0</v>
      </c>
      <c r="N24" s="66">
        <f>H24*Subsector!$S$17</f>
        <v>5.1425490293120907E-2</v>
      </c>
      <c r="O24" s="41">
        <f t="shared" si="8"/>
        <v>0.1</v>
      </c>
      <c r="P24" s="26">
        <f t="shared" si="8"/>
        <v>166.5</v>
      </c>
      <c r="Q24" s="26">
        <f t="shared" si="9"/>
        <v>4.0999999999999996</v>
      </c>
      <c r="R24" s="26">
        <f t="shared" si="10"/>
        <v>0.2</v>
      </c>
      <c r="S24" s="26">
        <f t="shared" si="11"/>
        <v>0</v>
      </c>
      <c r="T24" s="26">
        <f t="shared" si="11"/>
        <v>0.1</v>
      </c>
      <c r="U24" s="42">
        <f t="shared" si="12"/>
        <v>170.99999999999997</v>
      </c>
    </row>
    <row r="25" spans="1:21" ht="19.95" hidden="1" customHeight="1" x14ac:dyDescent="0.3">
      <c r="A25" s="52"/>
      <c r="B25" s="24"/>
      <c r="C25" s="24">
        <v>64027</v>
      </c>
      <c r="D25" s="25" t="s">
        <v>58</v>
      </c>
      <c r="E25" s="43"/>
      <c r="F25" s="27"/>
      <c r="G25" s="27"/>
      <c r="H25" s="44"/>
      <c r="I25" s="49">
        <f>H25*Subsector!$S$11</f>
        <v>0</v>
      </c>
      <c r="J25" s="26">
        <f>H25*Subsector!$S$12</f>
        <v>0</v>
      </c>
      <c r="K25" s="26">
        <f>H25*Subsector!$S$13</f>
        <v>0</v>
      </c>
      <c r="L25" s="26">
        <f>H25*Subsector!$S$15</f>
        <v>0</v>
      </c>
      <c r="M25" s="26">
        <f>H25*Subsector!$S$16</f>
        <v>0</v>
      </c>
      <c r="N25" s="66">
        <f>H25*Subsector!$S$17</f>
        <v>0</v>
      </c>
      <c r="O25" s="41">
        <f t="shared" si="8"/>
        <v>0</v>
      </c>
      <c r="P25" s="26">
        <f t="shared" si="8"/>
        <v>0</v>
      </c>
      <c r="Q25" s="26">
        <f t="shared" si="9"/>
        <v>0</v>
      </c>
      <c r="R25" s="26">
        <f t="shared" si="10"/>
        <v>0</v>
      </c>
      <c r="S25" s="26">
        <f t="shared" si="11"/>
        <v>0</v>
      </c>
      <c r="T25" s="26">
        <f t="shared" si="11"/>
        <v>0</v>
      </c>
      <c r="U25" s="42">
        <f t="shared" si="12"/>
        <v>0</v>
      </c>
    </row>
    <row r="26" spans="1:21" ht="19.95" hidden="1" customHeight="1" x14ac:dyDescent="0.3">
      <c r="A26" s="52"/>
      <c r="B26" s="24"/>
      <c r="C26" s="24">
        <v>64028</v>
      </c>
      <c r="D26" s="25" t="s">
        <v>59</v>
      </c>
      <c r="E26" s="43"/>
      <c r="F26" s="27"/>
      <c r="G26" s="27"/>
      <c r="H26" s="44"/>
      <c r="I26" s="49">
        <f>H26*Subsector!$S$11</f>
        <v>0</v>
      </c>
      <c r="J26" s="26">
        <f>H26*Subsector!$S$12</f>
        <v>0</v>
      </c>
      <c r="K26" s="26">
        <f>H26*Subsector!$S$13</f>
        <v>0</v>
      </c>
      <c r="L26" s="26">
        <f>H26*Subsector!$S$15</f>
        <v>0</v>
      </c>
      <c r="M26" s="26">
        <f>H26*Subsector!$S$16</f>
        <v>0</v>
      </c>
      <c r="N26" s="66">
        <f>H26*Subsector!$S$17</f>
        <v>0</v>
      </c>
      <c r="O26" s="41">
        <f t="shared" si="8"/>
        <v>0</v>
      </c>
      <c r="P26" s="26">
        <f t="shared" si="8"/>
        <v>0</v>
      </c>
      <c r="Q26" s="26">
        <f t="shared" si="9"/>
        <v>0</v>
      </c>
      <c r="R26" s="26">
        <f t="shared" si="10"/>
        <v>0</v>
      </c>
      <c r="S26" s="26">
        <f t="shared" si="11"/>
        <v>0</v>
      </c>
      <c r="T26" s="26">
        <f t="shared" si="11"/>
        <v>0</v>
      </c>
      <c r="U26" s="42">
        <f t="shared" si="12"/>
        <v>0</v>
      </c>
    </row>
    <row r="27" spans="1:21" ht="19.95" hidden="1" customHeight="1" x14ac:dyDescent="0.3">
      <c r="A27" s="51"/>
      <c r="B27" s="23">
        <v>6403</v>
      </c>
      <c r="C27" s="23"/>
      <c r="D27" s="21" t="s">
        <v>60</v>
      </c>
      <c r="E27" s="39">
        <f>SUM(E28:E32)</f>
        <v>0</v>
      </c>
      <c r="F27" s="22">
        <f t="shared" ref="F27:U27" si="13">SUM(F28:F32)</f>
        <v>0</v>
      </c>
      <c r="G27" s="22">
        <f t="shared" si="13"/>
        <v>0</v>
      </c>
      <c r="H27" s="40">
        <f t="shared" si="13"/>
        <v>0</v>
      </c>
      <c r="I27" s="36">
        <f t="shared" si="13"/>
        <v>0</v>
      </c>
      <c r="J27" s="22">
        <f t="shared" si="13"/>
        <v>0</v>
      </c>
      <c r="K27" s="22">
        <f t="shared" si="13"/>
        <v>0</v>
      </c>
      <c r="L27" s="22">
        <f t="shared" si="13"/>
        <v>0</v>
      </c>
      <c r="M27" s="22">
        <f t="shared" si="13"/>
        <v>0</v>
      </c>
      <c r="N27" s="65">
        <f t="shared" si="13"/>
        <v>0</v>
      </c>
      <c r="O27" s="39">
        <f t="shared" si="13"/>
        <v>0</v>
      </c>
      <c r="P27" s="22">
        <f t="shared" si="13"/>
        <v>0</v>
      </c>
      <c r="Q27" s="22">
        <f t="shared" si="13"/>
        <v>0</v>
      </c>
      <c r="R27" s="22">
        <f t="shared" si="13"/>
        <v>0</v>
      </c>
      <c r="S27" s="22">
        <f t="shared" si="13"/>
        <v>0</v>
      </c>
      <c r="T27" s="22">
        <f t="shared" si="13"/>
        <v>0</v>
      </c>
      <c r="U27" s="40">
        <f t="shared" si="13"/>
        <v>0</v>
      </c>
    </row>
    <row r="28" spans="1:21" ht="19.95" hidden="1" customHeight="1" x14ac:dyDescent="0.3">
      <c r="A28" s="52"/>
      <c r="B28" s="24"/>
      <c r="C28" s="24">
        <v>64033</v>
      </c>
      <c r="D28" s="25" t="s">
        <v>61</v>
      </c>
      <c r="E28" s="43"/>
      <c r="F28" s="27"/>
      <c r="G28" s="27"/>
      <c r="H28" s="44"/>
      <c r="I28" s="49">
        <f>H28*Subsector!$S$11</f>
        <v>0</v>
      </c>
      <c r="J28" s="26">
        <f>H28*Subsector!$S$12</f>
        <v>0</v>
      </c>
      <c r="K28" s="26">
        <f>H28*Subsector!$S$13</f>
        <v>0</v>
      </c>
      <c r="L28" s="26">
        <f>H28*Subsector!$S$15</f>
        <v>0</v>
      </c>
      <c r="M28" s="26">
        <f>H28*Subsector!$S$16</f>
        <v>0</v>
      </c>
      <c r="N28" s="66">
        <f>H28*Subsector!$S$17</f>
        <v>0</v>
      </c>
      <c r="O28" s="41">
        <f t="shared" ref="O28:P32" si="14">ROUNDUP(SUM(E28,I28),1)</f>
        <v>0</v>
      </c>
      <c r="P28" s="26">
        <f t="shared" si="14"/>
        <v>0</v>
      </c>
      <c r="Q28" s="26">
        <f>ROUNDUP(SUM(K28),1)</f>
        <v>0</v>
      </c>
      <c r="R28" s="26">
        <f>ROUNDUP(SUM(G28,L28),1)</f>
        <v>0</v>
      </c>
      <c r="S28" s="26">
        <f t="shared" ref="S28:T32" si="15">ROUNDUP(SUM(M28),1)</f>
        <v>0</v>
      </c>
      <c r="T28" s="26">
        <f t="shared" si="15"/>
        <v>0</v>
      </c>
      <c r="U28" s="42">
        <f>SUM(O28:T28)</f>
        <v>0</v>
      </c>
    </row>
    <row r="29" spans="1:21" ht="19.95" hidden="1" customHeight="1" x14ac:dyDescent="0.3">
      <c r="A29" s="52"/>
      <c r="B29" s="24"/>
      <c r="C29" s="24">
        <v>64034</v>
      </c>
      <c r="D29" s="25" t="s">
        <v>62</v>
      </c>
      <c r="E29" s="43"/>
      <c r="F29" s="27"/>
      <c r="G29" s="27"/>
      <c r="H29" s="44"/>
      <c r="I29" s="49">
        <f>H29*Subsector!$S$11</f>
        <v>0</v>
      </c>
      <c r="J29" s="26">
        <f>H29*Subsector!$S$12</f>
        <v>0</v>
      </c>
      <c r="K29" s="26">
        <f>H29*Subsector!$S$13</f>
        <v>0</v>
      </c>
      <c r="L29" s="26">
        <f>H29*Subsector!$S$15</f>
        <v>0</v>
      </c>
      <c r="M29" s="26">
        <f>H29*Subsector!$S$16</f>
        <v>0</v>
      </c>
      <c r="N29" s="66">
        <f>H29*Subsector!$S$17</f>
        <v>0</v>
      </c>
      <c r="O29" s="41">
        <f t="shared" si="14"/>
        <v>0</v>
      </c>
      <c r="P29" s="26">
        <f t="shared" si="14"/>
        <v>0</v>
      </c>
      <c r="Q29" s="26">
        <f>ROUNDUP(SUM(K29),1)</f>
        <v>0</v>
      </c>
      <c r="R29" s="26">
        <f>ROUNDUP(SUM(G29,L29),1)</f>
        <v>0</v>
      </c>
      <c r="S29" s="26">
        <f t="shared" si="15"/>
        <v>0</v>
      </c>
      <c r="T29" s="26">
        <f t="shared" si="15"/>
        <v>0</v>
      </c>
      <c r="U29" s="42">
        <f>SUM(O29:T29)</f>
        <v>0</v>
      </c>
    </row>
    <row r="30" spans="1:21" ht="19.95" hidden="1" customHeight="1" x14ac:dyDescent="0.3">
      <c r="A30" s="52"/>
      <c r="B30" s="24"/>
      <c r="C30" s="24">
        <v>64035</v>
      </c>
      <c r="D30" s="25" t="s">
        <v>63</v>
      </c>
      <c r="E30" s="43"/>
      <c r="F30" s="27"/>
      <c r="G30" s="27"/>
      <c r="H30" s="44"/>
      <c r="I30" s="49">
        <f>H30*Subsector!$S$11</f>
        <v>0</v>
      </c>
      <c r="J30" s="26">
        <f>H30*Subsector!$S$12</f>
        <v>0</v>
      </c>
      <c r="K30" s="26">
        <f>H30*Subsector!$S$13</f>
        <v>0</v>
      </c>
      <c r="L30" s="26">
        <f>H30*Subsector!$S$15</f>
        <v>0</v>
      </c>
      <c r="M30" s="26">
        <f>H30*Subsector!$S$16</f>
        <v>0</v>
      </c>
      <c r="N30" s="66">
        <f>H30*Subsector!$S$17</f>
        <v>0</v>
      </c>
      <c r="O30" s="41">
        <f t="shared" si="14"/>
        <v>0</v>
      </c>
      <c r="P30" s="26">
        <f t="shared" si="14"/>
        <v>0</v>
      </c>
      <c r="Q30" s="26">
        <f>ROUNDUP(SUM(K30),1)</f>
        <v>0</v>
      </c>
      <c r="R30" s="26">
        <f>ROUNDUP(SUM(G30,L30),1)</f>
        <v>0</v>
      </c>
      <c r="S30" s="26">
        <f t="shared" si="15"/>
        <v>0</v>
      </c>
      <c r="T30" s="26">
        <f t="shared" si="15"/>
        <v>0</v>
      </c>
      <c r="U30" s="42">
        <f>SUM(O30:T30)</f>
        <v>0</v>
      </c>
    </row>
    <row r="31" spans="1:21" ht="19.95" hidden="1" customHeight="1" x14ac:dyDescent="0.3">
      <c r="A31" s="52"/>
      <c r="B31" s="24"/>
      <c r="C31" s="24">
        <v>64037</v>
      </c>
      <c r="D31" s="25" t="s">
        <v>64</v>
      </c>
      <c r="E31" s="43"/>
      <c r="F31" s="27"/>
      <c r="G31" s="27"/>
      <c r="H31" s="44"/>
      <c r="I31" s="49">
        <f>H31*Subsector!$S$11</f>
        <v>0</v>
      </c>
      <c r="J31" s="26">
        <f>H31*Subsector!$S$12</f>
        <v>0</v>
      </c>
      <c r="K31" s="26">
        <f>H31*Subsector!$S$13</f>
        <v>0</v>
      </c>
      <c r="L31" s="26">
        <f>H31*Subsector!$S$15</f>
        <v>0</v>
      </c>
      <c r="M31" s="26">
        <f>H31*Subsector!$S$16</f>
        <v>0</v>
      </c>
      <c r="N31" s="66">
        <f>H31*Subsector!$S$17</f>
        <v>0</v>
      </c>
      <c r="O31" s="41">
        <f t="shared" si="14"/>
        <v>0</v>
      </c>
      <c r="P31" s="26">
        <f t="shared" si="14"/>
        <v>0</v>
      </c>
      <c r="Q31" s="26">
        <f>ROUNDUP(SUM(K31),1)</f>
        <v>0</v>
      </c>
      <c r="R31" s="26">
        <f>ROUNDUP(SUM(G31,L31),1)</f>
        <v>0</v>
      </c>
      <c r="S31" s="26">
        <f t="shared" si="15"/>
        <v>0</v>
      </c>
      <c r="T31" s="26">
        <f t="shared" si="15"/>
        <v>0</v>
      </c>
      <c r="U31" s="42">
        <f>SUM(O31:T31)</f>
        <v>0</v>
      </c>
    </row>
    <row r="32" spans="1:21" ht="19.95" hidden="1" customHeight="1" x14ac:dyDescent="0.3">
      <c r="A32" s="52"/>
      <c r="B32" s="24"/>
      <c r="C32" s="24">
        <v>64038</v>
      </c>
      <c r="D32" s="25" t="s">
        <v>60</v>
      </c>
      <c r="E32" s="43"/>
      <c r="F32" s="27"/>
      <c r="G32" s="27"/>
      <c r="H32" s="44"/>
      <c r="I32" s="49">
        <f>H32*Subsector!$S$11</f>
        <v>0</v>
      </c>
      <c r="J32" s="26">
        <f>H32*Subsector!$S$12</f>
        <v>0</v>
      </c>
      <c r="K32" s="26">
        <f>H32*Subsector!$S$13</f>
        <v>0</v>
      </c>
      <c r="L32" s="26">
        <f>H32*Subsector!$S$15</f>
        <v>0</v>
      </c>
      <c r="M32" s="26">
        <f>H32*Subsector!$S$16</f>
        <v>0</v>
      </c>
      <c r="N32" s="66">
        <f>H32*Subsector!$S$17</f>
        <v>0</v>
      </c>
      <c r="O32" s="41">
        <f t="shared" si="14"/>
        <v>0</v>
      </c>
      <c r="P32" s="26">
        <f t="shared" si="14"/>
        <v>0</v>
      </c>
      <c r="Q32" s="26">
        <f>ROUNDUP(SUM(K32),1)</f>
        <v>0</v>
      </c>
      <c r="R32" s="26">
        <f>ROUNDUP(SUM(G32,L32),1)</f>
        <v>0</v>
      </c>
      <c r="S32" s="26">
        <f t="shared" si="15"/>
        <v>0</v>
      </c>
      <c r="T32" s="26">
        <f t="shared" si="15"/>
        <v>0</v>
      </c>
      <c r="U32" s="42">
        <f>SUM(O32:T32)</f>
        <v>0</v>
      </c>
    </row>
    <row r="33" spans="1:21" ht="19.95" customHeight="1" x14ac:dyDescent="0.3">
      <c r="A33" s="51"/>
      <c r="B33" s="23">
        <v>6404</v>
      </c>
      <c r="C33" s="23"/>
      <c r="D33" s="21" t="s">
        <v>65</v>
      </c>
      <c r="E33" s="39">
        <f>SUM(E34:E36)</f>
        <v>0</v>
      </c>
      <c r="F33" s="22">
        <f t="shared" ref="F33:U33" si="16">SUM(F34:F36)</f>
        <v>13.5</v>
      </c>
      <c r="G33" s="22">
        <f t="shared" si="16"/>
        <v>59.6</v>
      </c>
      <c r="H33" s="40">
        <f t="shared" si="16"/>
        <v>0</v>
      </c>
      <c r="I33" s="36">
        <f t="shared" si="16"/>
        <v>0</v>
      </c>
      <c r="J33" s="22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65">
        <f t="shared" si="16"/>
        <v>0</v>
      </c>
      <c r="O33" s="39">
        <f t="shared" si="16"/>
        <v>0</v>
      </c>
      <c r="P33" s="22">
        <f t="shared" si="16"/>
        <v>13.5</v>
      </c>
      <c r="Q33" s="22">
        <f t="shared" si="16"/>
        <v>0</v>
      </c>
      <c r="R33" s="22">
        <f t="shared" si="16"/>
        <v>59.6</v>
      </c>
      <c r="S33" s="22">
        <f t="shared" si="16"/>
        <v>0</v>
      </c>
      <c r="T33" s="22">
        <f t="shared" si="16"/>
        <v>0</v>
      </c>
      <c r="U33" s="40">
        <f t="shared" si="16"/>
        <v>73.099999999999994</v>
      </c>
    </row>
    <row r="34" spans="1:21" ht="19.95" customHeight="1" x14ac:dyDescent="0.3">
      <c r="A34" s="52"/>
      <c r="B34" s="24"/>
      <c r="C34" s="24">
        <v>64041</v>
      </c>
      <c r="D34" s="25" t="s">
        <v>66</v>
      </c>
      <c r="E34" s="43">
        <v>0</v>
      </c>
      <c r="F34" s="27">
        <v>13.5</v>
      </c>
      <c r="G34" s="27">
        <v>59.6</v>
      </c>
      <c r="H34" s="44">
        <v>0</v>
      </c>
      <c r="I34" s="49">
        <f>H34*Subsector!$S$11</f>
        <v>0</v>
      </c>
      <c r="J34" s="26">
        <f>H34*Subsector!$S$12</f>
        <v>0</v>
      </c>
      <c r="K34" s="26">
        <f>H34*Subsector!$S$13</f>
        <v>0</v>
      </c>
      <c r="L34" s="26">
        <f>H34*Subsector!$S$15</f>
        <v>0</v>
      </c>
      <c r="M34" s="26">
        <f>H34*Subsector!$S$16</f>
        <v>0</v>
      </c>
      <c r="N34" s="66">
        <f>H34*Subsector!$S$17</f>
        <v>0</v>
      </c>
      <c r="O34" s="41">
        <f t="shared" ref="O34:P36" si="17">ROUNDUP(SUM(E34,I34),1)</f>
        <v>0</v>
      </c>
      <c r="P34" s="26">
        <f t="shared" si="17"/>
        <v>13.5</v>
      </c>
      <c r="Q34" s="26">
        <f>ROUNDUP(SUM(K34),1)</f>
        <v>0</v>
      </c>
      <c r="R34" s="26">
        <f>ROUNDUP(SUM(G34,L34),1)</f>
        <v>59.6</v>
      </c>
      <c r="S34" s="26">
        <f t="shared" ref="S34:T36" si="18">ROUNDUP(SUM(M34),1)</f>
        <v>0</v>
      </c>
      <c r="T34" s="26">
        <f t="shared" si="18"/>
        <v>0</v>
      </c>
      <c r="U34" s="42">
        <f>SUM(O34:T34)</f>
        <v>73.099999999999994</v>
      </c>
    </row>
    <row r="35" spans="1:21" ht="19.95" hidden="1" customHeight="1" x14ac:dyDescent="0.3">
      <c r="A35" s="52"/>
      <c r="B35" s="24"/>
      <c r="C35" s="24">
        <v>64042</v>
      </c>
      <c r="D35" s="25" t="s">
        <v>67</v>
      </c>
      <c r="E35" s="43"/>
      <c r="F35" s="27"/>
      <c r="G35" s="27"/>
      <c r="H35" s="44"/>
      <c r="I35" s="49">
        <f>H35*Subsector!$S$11</f>
        <v>0</v>
      </c>
      <c r="J35" s="26">
        <f>H35*Subsector!$S$12</f>
        <v>0</v>
      </c>
      <c r="K35" s="26">
        <f>H35*Subsector!$S$13</f>
        <v>0</v>
      </c>
      <c r="L35" s="26">
        <f>H35*Subsector!$S$15</f>
        <v>0</v>
      </c>
      <c r="M35" s="26">
        <f>H35*Subsector!$S$16</f>
        <v>0</v>
      </c>
      <c r="N35" s="66">
        <f>H35*Subsector!$S$17</f>
        <v>0</v>
      </c>
      <c r="O35" s="41">
        <f t="shared" si="17"/>
        <v>0</v>
      </c>
      <c r="P35" s="26">
        <f t="shared" si="17"/>
        <v>0</v>
      </c>
      <c r="Q35" s="26">
        <f>ROUNDUP(SUM(K35),1)</f>
        <v>0</v>
      </c>
      <c r="R35" s="26">
        <f>ROUNDUP(SUM(G35,L35),1)</f>
        <v>0</v>
      </c>
      <c r="S35" s="26">
        <f t="shared" si="18"/>
        <v>0</v>
      </c>
      <c r="T35" s="26">
        <f t="shared" si="18"/>
        <v>0</v>
      </c>
      <c r="U35" s="42">
        <f>SUM(O35:T35)</f>
        <v>0</v>
      </c>
    </row>
    <row r="36" spans="1:21" ht="19.95" hidden="1" customHeight="1" x14ac:dyDescent="0.3">
      <c r="A36" s="53"/>
      <c r="B36" s="23"/>
      <c r="C36" s="24">
        <v>64048</v>
      </c>
      <c r="D36" s="25" t="s">
        <v>68</v>
      </c>
      <c r="E36" s="43"/>
      <c r="F36" s="27"/>
      <c r="G36" s="27"/>
      <c r="H36" s="44"/>
      <c r="I36" s="49">
        <f>H36*Subsector!$S$11</f>
        <v>0</v>
      </c>
      <c r="J36" s="26">
        <f>H36*Subsector!$S$12</f>
        <v>0</v>
      </c>
      <c r="K36" s="26">
        <f>H36*Subsector!$S$13</f>
        <v>0</v>
      </c>
      <c r="L36" s="26">
        <f>H36*Subsector!$S$15</f>
        <v>0</v>
      </c>
      <c r="M36" s="26">
        <f>H36*Subsector!$S$16</f>
        <v>0</v>
      </c>
      <c r="N36" s="66">
        <f>H36*Subsector!$S$17</f>
        <v>0</v>
      </c>
      <c r="O36" s="41">
        <f t="shared" si="17"/>
        <v>0</v>
      </c>
      <c r="P36" s="26">
        <f t="shared" si="17"/>
        <v>0</v>
      </c>
      <c r="Q36" s="26">
        <f>ROUNDUP(SUM(K36),1)</f>
        <v>0</v>
      </c>
      <c r="R36" s="26">
        <f>ROUNDUP(SUM(G36,L36),1)</f>
        <v>0</v>
      </c>
      <c r="S36" s="26">
        <f t="shared" si="18"/>
        <v>0</v>
      </c>
      <c r="T36" s="26">
        <f t="shared" si="18"/>
        <v>0</v>
      </c>
      <c r="U36" s="42">
        <f>SUM(O36:T36)</f>
        <v>0</v>
      </c>
    </row>
    <row r="37" spans="1:21" ht="19.95" customHeight="1" x14ac:dyDescent="0.3">
      <c r="A37" s="54"/>
      <c r="B37" s="23">
        <v>6405</v>
      </c>
      <c r="C37" s="23"/>
      <c r="D37" s="21" t="s">
        <v>69</v>
      </c>
      <c r="E37" s="39">
        <f>SUM(E38:E44)</f>
        <v>0</v>
      </c>
      <c r="F37" s="22">
        <f t="shared" ref="F37:U37" si="19">SUM(F38:F44)</f>
        <v>27.700000000000003</v>
      </c>
      <c r="G37" s="22">
        <f t="shared" si="19"/>
        <v>0</v>
      </c>
      <c r="H37" s="40">
        <f t="shared" si="19"/>
        <v>0</v>
      </c>
      <c r="I37" s="36">
        <f t="shared" si="19"/>
        <v>0</v>
      </c>
      <c r="J37" s="22">
        <f t="shared" si="19"/>
        <v>0</v>
      </c>
      <c r="K37" s="22">
        <f t="shared" si="19"/>
        <v>0</v>
      </c>
      <c r="L37" s="22">
        <f t="shared" si="19"/>
        <v>0</v>
      </c>
      <c r="M37" s="22">
        <f t="shared" si="19"/>
        <v>0</v>
      </c>
      <c r="N37" s="65">
        <f t="shared" si="19"/>
        <v>0</v>
      </c>
      <c r="O37" s="39">
        <f t="shared" si="19"/>
        <v>0</v>
      </c>
      <c r="P37" s="22">
        <f t="shared" si="19"/>
        <v>27.700000000000003</v>
      </c>
      <c r="Q37" s="22">
        <f t="shared" si="19"/>
        <v>0</v>
      </c>
      <c r="R37" s="22">
        <f t="shared" si="19"/>
        <v>0</v>
      </c>
      <c r="S37" s="22">
        <f t="shared" si="19"/>
        <v>0</v>
      </c>
      <c r="T37" s="22">
        <f t="shared" si="19"/>
        <v>0</v>
      </c>
      <c r="U37" s="40">
        <f t="shared" si="19"/>
        <v>27.700000000000003</v>
      </c>
    </row>
    <row r="38" spans="1:21" ht="19.95" customHeight="1" x14ac:dyDescent="0.3">
      <c r="A38" s="55"/>
      <c r="B38" s="23"/>
      <c r="C38" s="24">
        <v>64051</v>
      </c>
      <c r="D38" s="25" t="s">
        <v>70</v>
      </c>
      <c r="E38" s="43"/>
      <c r="F38" s="27"/>
      <c r="G38" s="27"/>
      <c r="H38" s="44"/>
      <c r="I38" s="49">
        <f>H38*Subsector!$S$11</f>
        <v>0</v>
      </c>
      <c r="J38" s="26">
        <f>H38*Subsector!$S$12</f>
        <v>0</v>
      </c>
      <c r="K38" s="26">
        <f>H38*Subsector!$S$13</f>
        <v>0</v>
      </c>
      <c r="L38" s="26">
        <f>H38*Subsector!$S$15</f>
        <v>0</v>
      </c>
      <c r="M38" s="26">
        <f>H38*Subsector!$S$16</f>
        <v>0</v>
      </c>
      <c r="N38" s="66">
        <f>H38*Subsector!$S$17</f>
        <v>0</v>
      </c>
      <c r="O38" s="41">
        <f t="shared" ref="O38:P44" si="20">ROUNDUP(SUM(E38,I38),1)</f>
        <v>0</v>
      </c>
      <c r="P38" s="26">
        <f t="shared" si="20"/>
        <v>0</v>
      </c>
      <c r="Q38" s="26">
        <f t="shared" ref="Q38:Q44" si="21">ROUNDUP(SUM(K38),1)</f>
        <v>0</v>
      </c>
      <c r="R38" s="26">
        <f t="shared" ref="R38:R44" si="22">ROUNDUP(SUM(G38,L38),1)</f>
        <v>0</v>
      </c>
      <c r="S38" s="26">
        <f t="shared" ref="S38:T44" si="23">ROUNDUP(SUM(M38),1)</f>
        <v>0</v>
      </c>
      <c r="T38" s="26">
        <f t="shared" si="23"/>
        <v>0</v>
      </c>
      <c r="U38" s="42">
        <f t="shared" ref="U38:U44" si="24">SUM(O38:T38)</f>
        <v>0</v>
      </c>
    </row>
    <row r="39" spans="1:21" ht="19.95" customHeight="1" x14ac:dyDescent="0.3">
      <c r="A39" s="55"/>
      <c r="B39" s="24"/>
      <c r="C39" s="24">
        <v>64052</v>
      </c>
      <c r="D39" s="25" t="s">
        <v>71</v>
      </c>
      <c r="E39" s="43">
        <v>0</v>
      </c>
      <c r="F39" s="27">
        <v>5.6</v>
      </c>
      <c r="G39" s="27">
        <v>0</v>
      </c>
      <c r="H39" s="44">
        <v>0</v>
      </c>
      <c r="I39" s="49">
        <f>H39*Subsector!$S$11</f>
        <v>0</v>
      </c>
      <c r="J39" s="26">
        <f>H39*Subsector!$S$12</f>
        <v>0</v>
      </c>
      <c r="K39" s="26">
        <f>H39*Subsector!$S$13</f>
        <v>0</v>
      </c>
      <c r="L39" s="26">
        <f>H39*Subsector!$S$15</f>
        <v>0</v>
      </c>
      <c r="M39" s="26">
        <f>H39*Subsector!$S$16</f>
        <v>0</v>
      </c>
      <c r="N39" s="66">
        <f>H39*Subsector!$S$17</f>
        <v>0</v>
      </c>
      <c r="O39" s="41">
        <f t="shared" si="20"/>
        <v>0</v>
      </c>
      <c r="P39" s="26">
        <f t="shared" si="20"/>
        <v>5.6</v>
      </c>
      <c r="Q39" s="26">
        <f t="shared" si="21"/>
        <v>0</v>
      </c>
      <c r="R39" s="26">
        <f t="shared" si="22"/>
        <v>0</v>
      </c>
      <c r="S39" s="26">
        <f t="shared" si="23"/>
        <v>0</v>
      </c>
      <c r="T39" s="26">
        <f t="shared" si="23"/>
        <v>0</v>
      </c>
      <c r="U39" s="42">
        <f t="shared" si="24"/>
        <v>5.6</v>
      </c>
    </row>
    <row r="40" spans="1:21" ht="19.95" customHeight="1" x14ac:dyDescent="0.3">
      <c r="A40" s="55"/>
      <c r="B40" s="24"/>
      <c r="C40" s="24">
        <v>64053</v>
      </c>
      <c r="D40" s="25" t="s">
        <v>72</v>
      </c>
      <c r="E40" s="43">
        <v>0</v>
      </c>
      <c r="F40" s="27">
        <v>15</v>
      </c>
      <c r="G40" s="27">
        <v>0</v>
      </c>
      <c r="H40" s="44">
        <v>0</v>
      </c>
      <c r="I40" s="49">
        <f>H40*Subsector!$S$11</f>
        <v>0</v>
      </c>
      <c r="J40" s="26">
        <f>H40*Subsector!$S$12</f>
        <v>0</v>
      </c>
      <c r="K40" s="26">
        <f>H40*Subsector!$S$13</f>
        <v>0</v>
      </c>
      <c r="L40" s="26">
        <f>H40*Subsector!$S$15</f>
        <v>0</v>
      </c>
      <c r="M40" s="26">
        <f>H40*Subsector!$S$16</f>
        <v>0</v>
      </c>
      <c r="N40" s="66">
        <f>H40*Subsector!$S$17</f>
        <v>0</v>
      </c>
      <c r="O40" s="41">
        <f t="shared" si="20"/>
        <v>0</v>
      </c>
      <c r="P40" s="26">
        <f t="shared" si="20"/>
        <v>15</v>
      </c>
      <c r="Q40" s="26">
        <f t="shared" si="21"/>
        <v>0</v>
      </c>
      <c r="R40" s="26">
        <f t="shared" si="22"/>
        <v>0</v>
      </c>
      <c r="S40" s="26">
        <f t="shared" si="23"/>
        <v>0</v>
      </c>
      <c r="T40" s="26">
        <f t="shared" si="23"/>
        <v>0</v>
      </c>
      <c r="U40" s="42">
        <f t="shared" si="24"/>
        <v>15</v>
      </c>
    </row>
    <row r="41" spans="1:21" ht="19.95" customHeight="1" x14ac:dyDescent="0.3">
      <c r="A41" s="55"/>
      <c r="B41" s="24"/>
      <c r="C41" s="24">
        <v>64054</v>
      </c>
      <c r="D41" s="25" t="s">
        <v>73</v>
      </c>
      <c r="E41" s="43">
        <v>0</v>
      </c>
      <c r="F41" s="27">
        <v>7.1</v>
      </c>
      <c r="G41" s="27">
        <v>0</v>
      </c>
      <c r="H41" s="44">
        <v>0</v>
      </c>
      <c r="I41" s="49">
        <f>H41*Subsector!$S$11</f>
        <v>0</v>
      </c>
      <c r="J41" s="26">
        <f>H41*Subsector!$S$12</f>
        <v>0</v>
      </c>
      <c r="K41" s="26">
        <f>H41*Subsector!$S$13</f>
        <v>0</v>
      </c>
      <c r="L41" s="26">
        <f>H41*Subsector!$S$15</f>
        <v>0</v>
      </c>
      <c r="M41" s="26">
        <f>H41*Subsector!$S$16</f>
        <v>0</v>
      </c>
      <c r="N41" s="66">
        <f>H41*Subsector!$S$17</f>
        <v>0</v>
      </c>
      <c r="O41" s="41">
        <f t="shared" si="20"/>
        <v>0</v>
      </c>
      <c r="P41" s="26">
        <f t="shared" si="20"/>
        <v>7.1</v>
      </c>
      <c r="Q41" s="26">
        <f t="shared" si="21"/>
        <v>0</v>
      </c>
      <c r="R41" s="26">
        <f t="shared" si="22"/>
        <v>0</v>
      </c>
      <c r="S41" s="26">
        <f t="shared" si="23"/>
        <v>0</v>
      </c>
      <c r="T41" s="26">
        <f t="shared" si="23"/>
        <v>0</v>
      </c>
      <c r="U41" s="42">
        <f t="shared" si="24"/>
        <v>7.1</v>
      </c>
    </row>
    <row r="42" spans="1:21" ht="19.95" hidden="1" customHeight="1" x14ac:dyDescent="0.3">
      <c r="A42" s="55"/>
      <c r="B42" s="24"/>
      <c r="C42" s="24">
        <v>64055</v>
      </c>
      <c r="D42" s="25" t="s">
        <v>74</v>
      </c>
      <c r="E42" s="43"/>
      <c r="F42" s="27"/>
      <c r="G42" s="27"/>
      <c r="H42" s="44"/>
      <c r="I42" s="49">
        <f>H42*Subsector!$S$11</f>
        <v>0</v>
      </c>
      <c r="J42" s="26">
        <f>H42*Subsector!$S$12</f>
        <v>0</v>
      </c>
      <c r="K42" s="26">
        <f>H42*Subsector!$S$13</f>
        <v>0</v>
      </c>
      <c r="L42" s="26">
        <f>H42*Subsector!$S$15</f>
        <v>0</v>
      </c>
      <c r="M42" s="26">
        <f>H42*Subsector!$S$16</f>
        <v>0</v>
      </c>
      <c r="N42" s="66">
        <f>H42*Subsector!$S$17</f>
        <v>0</v>
      </c>
      <c r="O42" s="41">
        <f t="shared" si="20"/>
        <v>0</v>
      </c>
      <c r="P42" s="26">
        <f t="shared" si="20"/>
        <v>0</v>
      </c>
      <c r="Q42" s="26">
        <f t="shared" si="21"/>
        <v>0</v>
      </c>
      <c r="R42" s="26">
        <f t="shared" si="22"/>
        <v>0</v>
      </c>
      <c r="S42" s="26">
        <f t="shared" si="23"/>
        <v>0</v>
      </c>
      <c r="T42" s="26">
        <f t="shared" si="23"/>
        <v>0</v>
      </c>
      <c r="U42" s="42">
        <f t="shared" si="24"/>
        <v>0</v>
      </c>
    </row>
    <row r="43" spans="1:21" ht="19.95" hidden="1" customHeight="1" x14ac:dyDescent="0.3">
      <c r="A43" s="55"/>
      <c r="B43" s="24"/>
      <c r="C43" s="24">
        <v>64056</v>
      </c>
      <c r="D43" s="25" t="s">
        <v>75</v>
      </c>
      <c r="E43" s="43"/>
      <c r="F43" s="27"/>
      <c r="G43" s="27"/>
      <c r="H43" s="44"/>
      <c r="I43" s="49">
        <f>H43*Subsector!$S$11</f>
        <v>0</v>
      </c>
      <c r="J43" s="26">
        <f>H43*Subsector!$S$12</f>
        <v>0</v>
      </c>
      <c r="K43" s="26">
        <f>H43*Subsector!$S$13</f>
        <v>0</v>
      </c>
      <c r="L43" s="26">
        <f>H43*Subsector!$S$15</f>
        <v>0</v>
      </c>
      <c r="M43" s="26">
        <f>H43*Subsector!$S$16</f>
        <v>0</v>
      </c>
      <c r="N43" s="66">
        <f>H43*Subsector!$S$17</f>
        <v>0</v>
      </c>
      <c r="O43" s="41">
        <f t="shared" si="20"/>
        <v>0</v>
      </c>
      <c r="P43" s="26">
        <f t="shared" si="20"/>
        <v>0</v>
      </c>
      <c r="Q43" s="26">
        <f t="shared" si="21"/>
        <v>0</v>
      </c>
      <c r="R43" s="26">
        <f t="shared" si="22"/>
        <v>0</v>
      </c>
      <c r="S43" s="26">
        <f t="shared" si="23"/>
        <v>0</v>
      </c>
      <c r="T43" s="26">
        <f t="shared" si="23"/>
        <v>0</v>
      </c>
      <c r="U43" s="42">
        <f t="shared" si="24"/>
        <v>0</v>
      </c>
    </row>
    <row r="44" spans="1:21" ht="19.95" hidden="1" customHeight="1" x14ac:dyDescent="0.3">
      <c r="A44" s="55"/>
      <c r="B44" s="24"/>
      <c r="C44" s="24">
        <v>64058</v>
      </c>
      <c r="D44" s="25" t="s">
        <v>76</v>
      </c>
      <c r="E44" s="43"/>
      <c r="F44" s="27"/>
      <c r="G44" s="27"/>
      <c r="H44" s="44"/>
      <c r="I44" s="49">
        <f>H44*Subsector!$S$11</f>
        <v>0</v>
      </c>
      <c r="J44" s="26">
        <f>H44*Subsector!$S$12</f>
        <v>0</v>
      </c>
      <c r="K44" s="26">
        <f>H44*Subsector!$S$13</f>
        <v>0</v>
      </c>
      <c r="L44" s="26">
        <f>H44*Subsector!$S$15</f>
        <v>0</v>
      </c>
      <c r="M44" s="26">
        <f>H44*Subsector!$S$16</f>
        <v>0</v>
      </c>
      <c r="N44" s="66">
        <f>H44*Subsector!$S$17</f>
        <v>0</v>
      </c>
      <c r="O44" s="41">
        <f t="shared" si="20"/>
        <v>0</v>
      </c>
      <c r="P44" s="26">
        <f t="shared" si="20"/>
        <v>0</v>
      </c>
      <c r="Q44" s="26">
        <f t="shared" si="21"/>
        <v>0</v>
      </c>
      <c r="R44" s="26">
        <f t="shared" si="22"/>
        <v>0</v>
      </c>
      <c r="S44" s="26">
        <f t="shared" si="23"/>
        <v>0</v>
      </c>
      <c r="T44" s="26">
        <f t="shared" si="23"/>
        <v>0</v>
      </c>
      <c r="U44" s="42">
        <f t="shared" si="24"/>
        <v>0</v>
      </c>
    </row>
    <row r="45" spans="1:21" ht="19.95" customHeight="1" x14ac:dyDescent="0.3">
      <c r="A45" s="54"/>
      <c r="B45" s="28">
        <v>6406</v>
      </c>
      <c r="C45" s="23"/>
      <c r="D45" s="21" t="s">
        <v>77</v>
      </c>
      <c r="E45" s="39">
        <f>SUM(E46:E49)</f>
        <v>0</v>
      </c>
      <c r="F45" s="22">
        <f t="shared" ref="F45:U45" si="25">SUM(F46:F49)</f>
        <v>21.2</v>
      </c>
      <c r="G45" s="22">
        <f t="shared" si="25"/>
        <v>0</v>
      </c>
      <c r="H45" s="40">
        <f t="shared" si="25"/>
        <v>1.6</v>
      </c>
      <c r="I45" s="36">
        <f t="shared" si="25"/>
        <v>5.6722661714026703E-3</v>
      </c>
      <c r="J45" s="22">
        <f t="shared" si="25"/>
        <v>0.96305160418126456</v>
      </c>
      <c r="K45" s="22">
        <f t="shared" si="25"/>
        <v>0.60356913074396401</v>
      </c>
      <c r="L45" s="22">
        <f t="shared" si="25"/>
        <v>2.0088407748832384E-2</v>
      </c>
      <c r="M45" s="22">
        <f t="shared" si="25"/>
        <v>0</v>
      </c>
      <c r="N45" s="65">
        <f t="shared" si="25"/>
        <v>7.6185911545364297E-3</v>
      </c>
      <c r="O45" s="39">
        <f t="shared" si="25"/>
        <v>0.2</v>
      </c>
      <c r="P45" s="22">
        <f t="shared" si="25"/>
        <v>22.3</v>
      </c>
      <c r="Q45" s="22">
        <f t="shared" si="25"/>
        <v>0.7</v>
      </c>
      <c r="R45" s="22">
        <f t="shared" si="25"/>
        <v>0.2</v>
      </c>
      <c r="S45" s="22">
        <f t="shared" si="25"/>
        <v>0</v>
      </c>
      <c r="T45" s="22">
        <f t="shared" si="25"/>
        <v>0.2</v>
      </c>
      <c r="U45" s="40">
        <f t="shared" si="25"/>
        <v>23.6</v>
      </c>
    </row>
    <row r="46" spans="1:21" ht="19.95" customHeight="1" x14ac:dyDescent="0.3">
      <c r="A46" s="55"/>
      <c r="B46" s="28"/>
      <c r="C46" s="24">
        <v>64061</v>
      </c>
      <c r="D46" s="25" t="s">
        <v>78</v>
      </c>
      <c r="E46" s="43"/>
      <c r="F46" s="27">
        <v>15.2</v>
      </c>
      <c r="G46" s="27">
        <v>0</v>
      </c>
      <c r="H46" s="44">
        <v>1.2</v>
      </c>
      <c r="I46" s="49">
        <f>H46*Subsector!$S$11</f>
        <v>4.2541996285520023E-3</v>
      </c>
      <c r="J46" s="26">
        <f>H46*Subsector!$S$12</f>
        <v>0.7222887031359484</v>
      </c>
      <c r="K46" s="26">
        <f>H46*Subsector!$S$13</f>
        <v>0.45267684805797298</v>
      </c>
      <c r="L46" s="26">
        <f>H46*Subsector!$S$15</f>
        <v>1.5066305811624287E-2</v>
      </c>
      <c r="M46" s="26">
        <f>H46*Subsector!$S$16</f>
        <v>0</v>
      </c>
      <c r="N46" s="66">
        <f>H46*Subsector!$S$17</f>
        <v>5.7139433659023223E-3</v>
      </c>
      <c r="O46" s="41">
        <f t="shared" ref="O46:P49" si="26">ROUNDUP(SUM(E46,I46),1)</f>
        <v>0.1</v>
      </c>
      <c r="P46" s="26">
        <f t="shared" si="26"/>
        <v>16</v>
      </c>
      <c r="Q46" s="26">
        <f>ROUNDUP(SUM(K46),1)</f>
        <v>0.5</v>
      </c>
      <c r="R46" s="26">
        <f>ROUNDUP(SUM(G46,L46),1)</f>
        <v>0.1</v>
      </c>
      <c r="S46" s="26">
        <f t="shared" ref="S46:T49" si="27">ROUNDUP(SUM(M46),1)</f>
        <v>0</v>
      </c>
      <c r="T46" s="26">
        <f t="shared" si="27"/>
        <v>0.1</v>
      </c>
      <c r="U46" s="42">
        <f>SUM(O46:T46)</f>
        <v>16.800000000000004</v>
      </c>
    </row>
    <row r="47" spans="1:21" ht="19.95" customHeight="1" x14ac:dyDescent="0.3">
      <c r="A47" s="55"/>
      <c r="B47" s="28"/>
      <c r="C47" s="24">
        <v>64063</v>
      </c>
      <c r="D47" s="25" t="s">
        <v>79</v>
      </c>
      <c r="E47" s="43"/>
      <c r="F47" s="27">
        <v>6</v>
      </c>
      <c r="G47" s="27">
        <v>0</v>
      </c>
      <c r="H47" s="44">
        <v>0.4</v>
      </c>
      <c r="I47" s="49">
        <f>H47*Subsector!$S$11</f>
        <v>1.4180665428506676E-3</v>
      </c>
      <c r="J47" s="26">
        <f>H47*Subsector!$S$12</f>
        <v>0.24076290104531617</v>
      </c>
      <c r="K47" s="26">
        <f>H47*Subsector!$S$13</f>
        <v>0.150892282685991</v>
      </c>
      <c r="L47" s="26">
        <f>H47*Subsector!$S$15</f>
        <v>5.0221019372080969E-3</v>
      </c>
      <c r="M47" s="26">
        <f>H47*Subsector!$S$16</f>
        <v>0</v>
      </c>
      <c r="N47" s="66">
        <f>H47*Subsector!$S$17</f>
        <v>1.9046477886341077E-3</v>
      </c>
      <c r="O47" s="41">
        <f t="shared" si="26"/>
        <v>0.1</v>
      </c>
      <c r="P47" s="26">
        <f t="shared" si="26"/>
        <v>6.3</v>
      </c>
      <c r="Q47" s="26">
        <f>ROUNDUP(SUM(K47),1)</f>
        <v>0.2</v>
      </c>
      <c r="R47" s="26">
        <f>ROUNDUP(SUM(G47,L47),1)</f>
        <v>0.1</v>
      </c>
      <c r="S47" s="26">
        <f t="shared" si="27"/>
        <v>0</v>
      </c>
      <c r="T47" s="26">
        <f t="shared" si="27"/>
        <v>0.1</v>
      </c>
      <c r="U47" s="42">
        <f>SUM(O47:T47)</f>
        <v>6.7999999999999989</v>
      </c>
    </row>
    <row r="48" spans="1:21" ht="19.95" hidden="1" customHeight="1" x14ac:dyDescent="0.3">
      <c r="A48" s="55"/>
      <c r="B48" s="24"/>
      <c r="C48" s="24">
        <v>64064</v>
      </c>
      <c r="D48" s="25" t="s">
        <v>80</v>
      </c>
      <c r="E48" s="43"/>
      <c r="F48" s="27"/>
      <c r="G48" s="27"/>
      <c r="H48" s="44"/>
      <c r="I48" s="49">
        <f>H48*Subsector!$S$11</f>
        <v>0</v>
      </c>
      <c r="J48" s="26">
        <f>H48*Subsector!$S$12</f>
        <v>0</v>
      </c>
      <c r="K48" s="26">
        <f>H48*Subsector!$S$13</f>
        <v>0</v>
      </c>
      <c r="L48" s="26">
        <f>H48*Subsector!$S$15</f>
        <v>0</v>
      </c>
      <c r="M48" s="26">
        <f>H48*Subsector!$S$16</f>
        <v>0</v>
      </c>
      <c r="N48" s="66">
        <f>H48*Subsector!$S$17</f>
        <v>0</v>
      </c>
      <c r="O48" s="41">
        <f t="shared" si="26"/>
        <v>0</v>
      </c>
      <c r="P48" s="26">
        <f t="shared" si="26"/>
        <v>0</v>
      </c>
      <c r="Q48" s="26">
        <f>ROUNDUP(SUM(K48),1)</f>
        <v>0</v>
      </c>
      <c r="R48" s="26">
        <f>ROUNDUP(SUM(G48,L48),1)</f>
        <v>0</v>
      </c>
      <c r="S48" s="26">
        <f t="shared" si="27"/>
        <v>0</v>
      </c>
      <c r="T48" s="26">
        <f t="shared" si="27"/>
        <v>0</v>
      </c>
      <c r="U48" s="42">
        <f>SUM(O48:T48)</f>
        <v>0</v>
      </c>
    </row>
    <row r="49" spans="1:21" ht="19.95" hidden="1" customHeight="1" x14ac:dyDescent="0.3">
      <c r="A49" s="55"/>
      <c r="B49" s="24"/>
      <c r="C49" s="24">
        <v>64068</v>
      </c>
      <c r="D49" s="25" t="s">
        <v>81</v>
      </c>
      <c r="E49" s="43"/>
      <c r="F49" s="27"/>
      <c r="G49" s="27"/>
      <c r="H49" s="44"/>
      <c r="I49" s="49">
        <f>H49*Subsector!$S$11</f>
        <v>0</v>
      </c>
      <c r="J49" s="26">
        <f>H49*Subsector!$S$12</f>
        <v>0</v>
      </c>
      <c r="K49" s="26">
        <f>H49*Subsector!$S$13</f>
        <v>0</v>
      </c>
      <c r="L49" s="26">
        <f>H49*Subsector!$S$15</f>
        <v>0</v>
      </c>
      <c r="M49" s="26">
        <f>H49*Subsector!$S$16</f>
        <v>0</v>
      </c>
      <c r="N49" s="66">
        <f>H49*Subsector!$S$17</f>
        <v>0</v>
      </c>
      <c r="O49" s="41">
        <f t="shared" si="26"/>
        <v>0</v>
      </c>
      <c r="P49" s="26">
        <f t="shared" si="26"/>
        <v>0</v>
      </c>
      <c r="Q49" s="26">
        <f>ROUNDUP(SUM(K49),1)</f>
        <v>0</v>
      </c>
      <c r="R49" s="26">
        <f>ROUNDUP(SUM(G49,L49),1)</f>
        <v>0</v>
      </c>
      <c r="S49" s="26">
        <f t="shared" si="27"/>
        <v>0</v>
      </c>
      <c r="T49" s="26">
        <f t="shared" si="27"/>
        <v>0</v>
      </c>
      <c r="U49" s="42">
        <f>SUM(O49:T49)</f>
        <v>0</v>
      </c>
    </row>
    <row r="50" spans="1:21" ht="19.95" hidden="1" customHeight="1" x14ac:dyDescent="0.3">
      <c r="A50" s="51"/>
      <c r="B50" s="28">
        <v>6407</v>
      </c>
      <c r="C50" s="28"/>
      <c r="D50" s="29" t="s">
        <v>82</v>
      </c>
      <c r="E50" s="39">
        <f>SUM(E51:E58)</f>
        <v>0</v>
      </c>
      <c r="F50" s="22">
        <f t="shared" ref="F50:U50" si="28">SUM(F51:F58)</f>
        <v>0</v>
      </c>
      <c r="G50" s="22">
        <f t="shared" si="28"/>
        <v>0</v>
      </c>
      <c r="H50" s="40">
        <f t="shared" si="28"/>
        <v>0</v>
      </c>
      <c r="I50" s="36">
        <f t="shared" si="28"/>
        <v>0</v>
      </c>
      <c r="J50" s="22">
        <f t="shared" si="28"/>
        <v>0</v>
      </c>
      <c r="K50" s="22">
        <f t="shared" si="28"/>
        <v>0</v>
      </c>
      <c r="L50" s="22">
        <f t="shared" si="28"/>
        <v>0</v>
      </c>
      <c r="M50" s="22">
        <f t="shared" si="28"/>
        <v>0</v>
      </c>
      <c r="N50" s="65">
        <f t="shared" si="28"/>
        <v>0</v>
      </c>
      <c r="O50" s="39">
        <f t="shared" si="28"/>
        <v>0</v>
      </c>
      <c r="P50" s="22">
        <f t="shared" si="28"/>
        <v>0</v>
      </c>
      <c r="Q50" s="22">
        <f t="shared" si="28"/>
        <v>0</v>
      </c>
      <c r="R50" s="22">
        <f t="shared" si="28"/>
        <v>0</v>
      </c>
      <c r="S50" s="22">
        <f t="shared" si="28"/>
        <v>0</v>
      </c>
      <c r="T50" s="22">
        <f t="shared" si="28"/>
        <v>0</v>
      </c>
      <c r="U50" s="40">
        <f t="shared" si="28"/>
        <v>0</v>
      </c>
    </row>
    <row r="51" spans="1:21" ht="19.95" hidden="1" customHeight="1" x14ac:dyDescent="0.3">
      <c r="A51" s="52"/>
      <c r="B51" s="28"/>
      <c r="C51" s="30">
        <v>64071</v>
      </c>
      <c r="D51" s="31" t="s">
        <v>83</v>
      </c>
      <c r="E51" s="43"/>
      <c r="F51" s="27"/>
      <c r="G51" s="27"/>
      <c r="H51" s="44"/>
      <c r="I51" s="49">
        <f>H51*Subsector!$S$11</f>
        <v>0</v>
      </c>
      <c r="J51" s="26">
        <f>H51*Subsector!$S$12</f>
        <v>0</v>
      </c>
      <c r="K51" s="26">
        <f>H51*Subsector!$S$13</f>
        <v>0</v>
      </c>
      <c r="L51" s="26">
        <f>H51*Subsector!$S$15</f>
        <v>0</v>
      </c>
      <c r="M51" s="26">
        <f>H51*Subsector!$S$16</f>
        <v>0</v>
      </c>
      <c r="N51" s="66">
        <f>H51*Subsector!$S$17</f>
        <v>0</v>
      </c>
      <c r="O51" s="41">
        <f t="shared" ref="O51:P58" si="29">ROUNDUP(SUM(E51,I51),1)</f>
        <v>0</v>
      </c>
      <c r="P51" s="26">
        <f t="shared" si="29"/>
        <v>0</v>
      </c>
      <c r="Q51" s="26">
        <f t="shared" ref="Q51:Q58" si="30">ROUNDUP(SUM(K51),1)</f>
        <v>0</v>
      </c>
      <c r="R51" s="26">
        <f t="shared" ref="R51:R58" si="31">ROUNDUP(SUM(G51,L51),1)</f>
        <v>0</v>
      </c>
      <c r="S51" s="26">
        <f t="shared" ref="S51:T58" si="32">ROUNDUP(SUM(M51),1)</f>
        <v>0</v>
      </c>
      <c r="T51" s="26">
        <f t="shared" si="32"/>
        <v>0</v>
      </c>
      <c r="U51" s="42">
        <f t="shared" ref="U51:U58" si="33">SUM(O51:T51)</f>
        <v>0</v>
      </c>
    </row>
    <row r="52" spans="1:21" ht="19.95" hidden="1" customHeight="1" x14ac:dyDescent="0.3">
      <c r="A52" s="52"/>
      <c r="B52" s="28"/>
      <c r="C52" s="30">
        <v>64072</v>
      </c>
      <c r="D52" s="31" t="s">
        <v>84</v>
      </c>
      <c r="E52" s="43"/>
      <c r="F52" s="27"/>
      <c r="G52" s="27"/>
      <c r="H52" s="44"/>
      <c r="I52" s="49">
        <f>H52*Subsector!$S$11</f>
        <v>0</v>
      </c>
      <c r="J52" s="26">
        <f>H52*Subsector!$S$12</f>
        <v>0</v>
      </c>
      <c r="K52" s="26">
        <f>H52*Subsector!$S$13</f>
        <v>0</v>
      </c>
      <c r="L52" s="26">
        <f>H52*Subsector!$S$15</f>
        <v>0</v>
      </c>
      <c r="M52" s="26">
        <f>H52*Subsector!$S$16</f>
        <v>0</v>
      </c>
      <c r="N52" s="66">
        <f>H52*Subsector!$S$17</f>
        <v>0</v>
      </c>
      <c r="O52" s="41">
        <f t="shared" si="29"/>
        <v>0</v>
      </c>
      <c r="P52" s="26">
        <f t="shared" si="29"/>
        <v>0</v>
      </c>
      <c r="Q52" s="26">
        <f t="shared" si="30"/>
        <v>0</v>
      </c>
      <c r="R52" s="26">
        <f t="shared" si="31"/>
        <v>0</v>
      </c>
      <c r="S52" s="26">
        <f t="shared" si="32"/>
        <v>0</v>
      </c>
      <c r="T52" s="26">
        <f t="shared" si="32"/>
        <v>0</v>
      </c>
      <c r="U52" s="42">
        <f t="shared" si="33"/>
        <v>0</v>
      </c>
    </row>
    <row r="53" spans="1:21" ht="19.95" hidden="1" customHeight="1" x14ac:dyDescent="0.3">
      <c r="A53" s="52"/>
      <c r="B53" s="28"/>
      <c r="C53" s="30">
        <v>64073</v>
      </c>
      <c r="D53" s="31" t="s">
        <v>85</v>
      </c>
      <c r="E53" s="43"/>
      <c r="F53" s="27"/>
      <c r="G53" s="27"/>
      <c r="H53" s="44"/>
      <c r="I53" s="49">
        <f>H53*Subsector!$S$11</f>
        <v>0</v>
      </c>
      <c r="J53" s="26">
        <f>H53*Subsector!$S$12</f>
        <v>0</v>
      </c>
      <c r="K53" s="26">
        <f>H53*Subsector!$S$13</f>
        <v>0</v>
      </c>
      <c r="L53" s="26">
        <f>H53*Subsector!$S$15</f>
        <v>0</v>
      </c>
      <c r="M53" s="26">
        <f>H53*Subsector!$S$16</f>
        <v>0</v>
      </c>
      <c r="N53" s="66">
        <f>H53*Subsector!$S$17</f>
        <v>0</v>
      </c>
      <c r="O53" s="41">
        <f t="shared" si="29"/>
        <v>0</v>
      </c>
      <c r="P53" s="26">
        <f t="shared" si="29"/>
        <v>0</v>
      </c>
      <c r="Q53" s="26">
        <f t="shared" si="30"/>
        <v>0</v>
      </c>
      <c r="R53" s="26">
        <f t="shared" si="31"/>
        <v>0</v>
      </c>
      <c r="S53" s="26">
        <f t="shared" si="32"/>
        <v>0</v>
      </c>
      <c r="T53" s="26">
        <f t="shared" si="32"/>
        <v>0</v>
      </c>
      <c r="U53" s="42">
        <f t="shared" si="33"/>
        <v>0</v>
      </c>
    </row>
    <row r="54" spans="1:21" ht="19.95" hidden="1" customHeight="1" x14ac:dyDescent="0.3">
      <c r="A54" s="52"/>
      <c r="B54" s="24"/>
      <c r="C54" s="30">
        <v>64074</v>
      </c>
      <c r="D54" s="25" t="s">
        <v>86</v>
      </c>
      <c r="E54" s="43"/>
      <c r="F54" s="27"/>
      <c r="G54" s="27"/>
      <c r="H54" s="44"/>
      <c r="I54" s="49">
        <f>H54*Subsector!$S$11</f>
        <v>0</v>
      </c>
      <c r="J54" s="26">
        <f>H54*Subsector!$S$12</f>
        <v>0</v>
      </c>
      <c r="K54" s="26">
        <f>H54*Subsector!$S$13</f>
        <v>0</v>
      </c>
      <c r="L54" s="26">
        <f>H54*Subsector!$S$15</f>
        <v>0</v>
      </c>
      <c r="M54" s="26">
        <f>H54*Subsector!$S$16</f>
        <v>0</v>
      </c>
      <c r="N54" s="66">
        <f>H54*Subsector!$S$17</f>
        <v>0</v>
      </c>
      <c r="O54" s="41">
        <f t="shared" si="29"/>
        <v>0</v>
      </c>
      <c r="P54" s="26">
        <f t="shared" si="29"/>
        <v>0</v>
      </c>
      <c r="Q54" s="26">
        <f t="shared" si="30"/>
        <v>0</v>
      </c>
      <c r="R54" s="26">
        <f t="shared" si="31"/>
        <v>0</v>
      </c>
      <c r="S54" s="26">
        <f t="shared" si="32"/>
        <v>0</v>
      </c>
      <c r="T54" s="26">
        <f t="shared" si="32"/>
        <v>0</v>
      </c>
      <c r="U54" s="42">
        <f t="shared" si="33"/>
        <v>0</v>
      </c>
    </row>
    <row r="55" spans="1:21" ht="19.95" hidden="1" customHeight="1" x14ac:dyDescent="0.3">
      <c r="A55" s="52"/>
      <c r="B55" s="28"/>
      <c r="C55" s="30">
        <v>64075</v>
      </c>
      <c r="D55" s="31" t="s">
        <v>48</v>
      </c>
      <c r="E55" s="43"/>
      <c r="F55" s="27"/>
      <c r="G55" s="27"/>
      <c r="H55" s="44"/>
      <c r="I55" s="49">
        <f>H55*Subsector!$S$11</f>
        <v>0</v>
      </c>
      <c r="J55" s="26">
        <f>H55*Subsector!$S$12</f>
        <v>0</v>
      </c>
      <c r="K55" s="26">
        <f>H55*Subsector!$S$13</f>
        <v>0</v>
      </c>
      <c r="L55" s="26">
        <f>H55*Subsector!$S$15</f>
        <v>0</v>
      </c>
      <c r="M55" s="26">
        <f>H55*Subsector!$S$16</f>
        <v>0</v>
      </c>
      <c r="N55" s="66">
        <f>H55*Subsector!$S$17</f>
        <v>0</v>
      </c>
      <c r="O55" s="41">
        <f t="shared" si="29"/>
        <v>0</v>
      </c>
      <c r="P55" s="26">
        <f t="shared" si="29"/>
        <v>0</v>
      </c>
      <c r="Q55" s="26">
        <f t="shared" si="30"/>
        <v>0</v>
      </c>
      <c r="R55" s="26">
        <f t="shared" si="31"/>
        <v>0</v>
      </c>
      <c r="S55" s="26">
        <f t="shared" si="32"/>
        <v>0</v>
      </c>
      <c r="T55" s="26">
        <f t="shared" si="32"/>
        <v>0</v>
      </c>
      <c r="U55" s="42">
        <f t="shared" si="33"/>
        <v>0</v>
      </c>
    </row>
    <row r="56" spans="1:21" ht="19.95" hidden="1" customHeight="1" x14ac:dyDescent="0.3">
      <c r="A56" s="52"/>
      <c r="B56" s="28"/>
      <c r="C56" s="30">
        <v>64076</v>
      </c>
      <c r="D56" s="31" t="s">
        <v>49</v>
      </c>
      <c r="E56" s="43"/>
      <c r="F56" s="27"/>
      <c r="G56" s="27"/>
      <c r="H56" s="44"/>
      <c r="I56" s="49">
        <f>H56*Subsector!$S$11</f>
        <v>0</v>
      </c>
      <c r="J56" s="26">
        <f>H56*Subsector!$S$12</f>
        <v>0</v>
      </c>
      <c r="K56" s="26">
        <f>H56*Subsector!$S$13</f>
        <v>0</v>
      </c>
      <c r="L56" s="26">
        <f>H56*Subsector!$S$15</f>
        <v>0</v>
      </c>
      <c r="M56" s="26">
        <f>H56*Subsector!$S$16</f>
        <v>0</v>
      </c>
      <c r="N56" s="66">
        <f>H56*Subsector!$S$17</f>
        <v>0</v>
      </c>
      <c r="O56" s="41">
        <f t="shared" si="29"/>
        <v>0</v>
      </c>
      <c r="P56" s="26">
        <f t="shared" si="29"/>
        <v>0</v>
      </c>
      <c r="Q56" s="26">
        <f t="shared" si="30"/>
        <v>0</v>
      </c>
      <c r="R56" s="26">
        <f t="shared" si="31"/>
        <v>0</v>
      </c>
      <c r="S56" s="26">
        <f t="shared" si="32"/>
        <v>0</v>
      </c>
      <c r="T56" s="26">
        <f t="shared" si="32"/>
        <v>0</v>
      </c>
      <c r="U56" s="42">
        <f t="shared" si="33"/>
        <v>0</v>
      </c>
    </row>
    <row r="57" spans="1:21" ht="19.95" hidden="1" customHeight="1" x14ac:dyDescent="0.3">
      <c r="A57" s="52"/>
      <c r="B57" s="28"/>
      <c r="C57" s="30">
        <v>64077</v>
      </c>
      <c r="D57" s="31" t="s">
        <v>50</v>
      </c>
      <c r="E57" s="43"/>
      <c r="F57" s="27"/>
      <c r="G57" s="27"/>
      <c r="H57" s="44"/>
      <c r="I57" s="49">
        <f>H57*Subsector!$S$11</f>
        <v>0</v>
      </c>
      <c r="J57" s="26">
        <f>H57*Subsector!$S$12</f>
        <v>0</v>
      </c>
      <c r="K57" s="26">
        <f>H57*Subsector!$S$13</f>
        <v>0</v>
      </c>
      <c r="L57" s="26">
        <f>H57*Subsector!$S$15</f>
        <v>0</v>
      </c>
      <c r="M57" s="26">
        <f>H57*Subsector!$S$16</f>
        <v>0</v>
      </c>
      <c r="N57" s="66">
        <f>H57*Subsector!$S$17</f>
        <v>0</v>
      </c>
      <c r="O57" s="41">
        <f t="shared" si="29"/>
        <v>0</v>
      </c>
      <c r="P57" s="26">
        <f t="shared" si="29"/>
        <v>0</v>
      </c>
      <c r="Q57" s="26">
        <f t="shared" si="30"/>
        <v>0</v>
      </c>
      <c r="R57" s="26">
        <f t="shared" si="31"/>
        <v>0</v>
      </c>
      <c r="S57" s="26">
        <f t="shared" si="32"/>
        <v>0</v>
      </c>
      <c r="T57" s="26">
        <f t="shared" si="32"/>
        <v>0</v>
      </c>
      <c r="U57" s="42">
        <f t="shared" si="33"/>
        <v>0</v>
      </c>
    </row>
    <row r="58" spans="1:21" ht="19.95" hidden="1" customHeight="1" x14ac:dyDescent="0.3">
      <c r="A58" s="52"/>
      <c r="B58" s="28"/>
      <c r="C58" s="30">
        <v>64078</v>
      </c>
      <c r="D58" s="31" t="s">
        <v>87</v>
      </c>
      <c r="E58" s="43"/>
      <c r="F58" s="27"/>
      <c r="G58" s="27"/>
      <c r="H58" s="44"/>
      <c r="I58" s="49">
        <f>H58*Subsector!$S$11</f>
        <v>0</v>
      </c>
      <c r="J58" s="26">
        <f>H58*Subsector!$S$12</f>
        <v>0</v>
      </c>
      <c r="K58" s="26">
        <f>H58*Subsector!$S$13</f>
        <v>0</v>
      </c>
      <c r="L58" s="26">
        <f>H58*Subsector!$S$15</f>
        <v>0</v>
      </c>
      <c r="M58" s="26">
        <f>H58*Subsector!$S$16</f>
        <v>0</v>
      </c>
      <c r="N58" s="66">
        <f>H58*Subsector!$S$17</f>
        <v>0</v>
      </c>
      <c r="O58" s="41">
        <f t="shared" si="29"/>
        <v>0</v>
      </c>
      <c r="P58" s="26">
        <f t="shared" si="29"/>
        <v>0</v>
      </c>
      <c r="Q58" s="26">
        <f t="shared" si="30"/>
        <v>0</v>
      </c>
      <c r="R58" s="26">
        <f t="shared" si="31"/>
        <v>0</v>
      </c>
      <c r="S58" s="26">
        <f t="shared" si="32"/>
        <v>0</v>
      </c>
      <c r="T58" s="26">
        <f t="shared" si="32"/>
        <v>0</v>
      </c>
      <c r="U58" s="42">
        <f t="shared" si="33"/>
        <v>0</v>
      </c>
    </row>
    <row r="59" spans="1:21" ht="19.95" customHeight="1" x14ac:dyDescent="0.3">
      <c r="A59" s="51"/>
      <c r="B59" s="28">
        <v>6498</v>
      </c>
      <c r="C59" s="28"/>
      <c r="D59" s="29" t="s">
        <v>88</v>
      </c>
      <c r="E59" s="39">
        <f>SUM(E60)</f>
        <v>0</v>
      </c>
      <c r="F59" s="22">
        <f t="shared" ref="F59:U59" si="34">SUM(F60)</f>
        <v>12.7</v>
      </c>
      <c r="G59" s="22">
        <f>SUM(G60)</f>
        <v>0.8</v>
      </c>
      <c r="H59" s="40">
        <f t="shared" si="34"/>
        <v>0.9</v>
      </c>
      <c r="I59" s="36">
        <f t="shared" si="34"/>
        <v>3.1906497214140017E-3</v>
      </c>
      <c r="J59" s="22">
        <f t="shared" si="34"/>
        <v>0.5417165273519613</v>
      </c>
      <c r="K59" s="22">
        <f t="shared" si="34"/>
        <v>0.33950763604347978</v>
      </c>
      <c r="L59" s="22">
        <f t="shared" si="34"/>
        <v>1.1299729358718216E-2</v>
      </c>
      <c r="M59" s="22">
        <f t="shared" si="34"/>
        <v>0</v>
      </c>
      <c r="N59" s="65">
        <f t="shared" si="34"/>
        <v>4.2854575244267419E-3</v>
      </c>
      <c r="O59" s="39">
        <f t="shared" si="34"/>
        <v>0.1</v>
      </c>
      <c r="P59" s="22">
        <f t="shared" si="34"/>
        <v>13.299999999999999</v>
      </c>
      <c r="Q59" s="22">
        <f t="shared" si="34"/>
        <v>0.4</v>
      </c>
      <c r="R59" s="22">
        <f t="shared" si="34"/>
        <v>0.9</v>
      </c>
      <c r="S59" s="22">
        <f t="shared" si="34"/>
        <v>0</v>
      </c>
      <c r="T59" s="22">
        <f t="shared" si="34"/>
        <v>0.1</v>
      </c>
      <c r="U59" s="40">
        <f t="shared" si="34"/>
        <v>14.799999999999999</v>
      </c>
    </row>
    <row r="60" spans="1:21" ht="19.95" customHeight="1" thickBot="1" x14ac:dyDescent="0.35">
      <c r="A60" s="56"/>
      <c r="B60" s="57"/>
      <c r="C60" s="58">
        <v>64981</v>
      </c>
      <c r="D60" s="59" t="s">
        <v>88</v>
      </c>
      <c r="E60" s="68"/>
      <c r="F60" s="69">
        <v>12.7</v>
      </c>
      <c r="G60" s="69">
        <v>0.8</v>
      </c>
      <c r="H60" s="70">
        <v>0.9</v>
      </c>
      <c r="I60" s="63">
        <f>H60*Subsector!$S$11</f>
        <v>3.1906497214140017E-3</v>
      </c>
      <c r="J60" s="61">
        <f>H60*Subsector!$S$12</f>
        <v>0.5417165273519613</v>
      </c>
      <c r="K60" s="61">
        <f>H60*Subsector!$S$13</f>
        <v>0.33950763604347978</v>
      </c>
      <c r="L60" s="61">
        <f>H60*Subsector!$S$15</f>
        <v>1.1299729358718216E-2</v>
      </c>
      <c r="M60" s="61">
        <f>H60*Subsector!$S$16</f>
        <v>0</v>
      </c>
      <c r="N60" s="67">
        <f>H60*Subsector!$S$17</f>
        <v>4.2854575244267419E-3</v>
      </c>
      <c r="O60" s="60">
        <f>ROUNDUP(SUM(E60,I60),1)</f>
        <v>0.1</v>
      </c>
      <c r="P60" s="61">
        <f>ROUNDUP(SUM(F60,J60),1)</f>
        <v>13.299999999999999</v>
      </c>
      <c r="Q60" s="61">
        <f>ROUNDUP(SUM(K60),1)</f>
        <v>0.4</v>
      </c>
      <c r="R60" s="61">
        <f>ROUNDUP(SUM(G60,L60),1)</f>
        <v>0.9</v>
      </c>
      <c r="S60" s="61">
        <f>ROUNDUP(SUM(M60),1)</f>
        <v>0</v>
      </c>
      <c r="T60" s="61">
        <f>ROUNDUP(SUM(N60),1)</f>
        <v>0.1</v>
      </c>
      <c r="U60" s="62">
        <f>SUM(O60:T60)</f>
        <v>14.799999999999999</v>
      </c>
    </row>
  </sheetData>
  <sheetProtection algorithmName="SHA-512" hashValue="oaisSRSL4Q4JO250bd5YgvcZuiu2amZkdy08QoFESO1vOmpv41OVYrzK6XHE0XVumK5QM0elnHbQWKP3TS1jUg==" saltValue="5z9Bkz+HbN6iVQI1e7R13A==" spinCount="100000" sheet="1" formatCells="0" formatColumns="0" formatRows="0" sort="0" autoFilter="0" pivotTables="0"/>
  <mergeCells count="8">
    <mergeCell ref="A3:U3"/>
    <mergeCell ref="A5:A7"/>
    <mergeCell ref="B5:B7"/>
    <mergeCell ref="C5:C7"/>
    <mergeCell ref="D5:D7"/>
    <mergeCell ref="E5:H5"/>
    <mergeCell ref="I5:N6"/>
    <mergeCell ref="O5:U6"/>
  </mergeCells>
  <pageMargins left="0.11811023622047245" right="0.11811023622047245" top="0.74803149606299213" bottom="0.74803149606299213" header="0.31496062992125984" footer="0.31496062992125984"/>
  <pageSetup paperSize="9" scale="85" orientation="landscape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EBF82-EF9D-47FC-849D-8EE65E038595}">
  <sheetPr codeName="Sheet7"/>
  <dimension ref="A1:U60"/>
  <sheetViews>
    <sheetView zoomScaleNormal="100" workbookViewId="0">
      <selection activeCell="I71" sqref="I71"/>
    </sheetView>
  </sheetViews>
  <sheetFormatPr defaultRowHeight="14.4" x14ac:dyDescent="0.3"/>
  <cols>
    <col min="1" max="1" width="4.6640625" customWidth="1"/>
    <col min="2" max="2" width="6.5546875" customWidth="1"/>
    <col min="3" max="3" width="9.44140625" customWidth="1"/>
    <col min="4" max="4" width="34" customWidth="1"/>
    <col min="5" max="5" width="4.77734375" customWidth="1"/>
    <col min="6" max="6" width="7.77734375" customWidth="1"/>
    <col min="7" max="7" width="6.88671875" customWidth="1"/>
    <col min="8" max="8" width="8.21875" customWidth="1"/>
    <col min="9" max="9" width="6.33203125" customWidth="1"/>
    <col min="10" max="10" width="6.44140625" customWidth="1"/>
    <col min="11" max="11" width="7.109375" customWidth="1"/>
    <col min="12" max="12" width="5" customWidth="1"/>
    <col min="13" max="13" width="4.44140625" customWidth="1"/>
    <col min="14" max="14" width="7.109375" customWidth="1"/>
    <col min="15" max="15" width="5.6640625" customWidth="1"/>
    <col min="16" max="16" width="7.109375" customWidth="1"/>
    <col min="17" max="17" width="7.5546875" customWidth="1"/>
    <col min="18" max="18" width="6.6640625" customWidth="1"/>
    <col min="19" max="19" width="4.88671875" customWidth="1"/>
    <col min="20" max="20" width="6.5546875" customWidth="1"/>
    <col min="21" max="21" width="8.77734375" customWidth="1"/>
  </cols>
  <sheetData>
    <row r="1" spans="1:21" ht="21.45" customHeight="1" x14ac:dyDescent="0.3"/>
    <row r="2" spans="1:21" ht="21.45" customHeight="1" x14ac:dyDescent="0.3"/>
    <row r="3" spans="1:21" ht="36.450000000000003" customHeight="1" x14ac:dyDescent="0.3">
      <c r="A3" s="108" t="s">
        <v>102</v>
      </c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</row>
    <row r="4" spans="1:21" ht="21.45" customHeight="1" thickBot="1" x14ac:dyDescent="0.35"/>
    <row r="5" spans="1:21" ht="43.5" customHeight="1" x14ac:dyDescent="0.3">
      <c r="A5" s="123" t="s">
        <v>39</v>
      </c>
      <c r="B5" s="121" t="s">
        <v>40</v>
      </c>
      <c r="C5" s="121" t="s">
        <v>41</v>
      </c>
      <c r="D5" s="119" t="s">
        <v>42</v>
      </c>
      <c r="E5" s="125" t="s">
        <v>99</v>
      </c>
      <c r="F5" s="126"/>
      <c r="G5" s="126"/>
      <c r="H5" s="127"/>
      <c r="I5" s="140" t="s">
        <v>94</v>
      </c>
      <c r="J5" s="141"/>
      <c r="K5" s="141"/>
      <c r="L5" s="141"/>
      <c r="M5" s="141"/>
      <c r="N5" s="142"/>
      <c r="O5" s="134" t="s">
        <v>95</v>
      </c>
      <c r="P5" s="135"/>
      <c r="Q5" s="135"/>
      <c r="R5" s="135"/>
      <c r="S5" s="135"/>
      <c r="T5" s="135"/>
      <c r="U5" s="136"/>
    </row>
    <row r="6" spans="1:21" ht="43.05" customHeight="1" x14ac:dyDescent="0.8">
      <c r="A6" s="124"/>
      <c r="B6" s="122"/>
      <c r="C6" s="122"/>
      <c r="D6" s="120"/>
      <c r="E6" s="45"/>
      <c r="F6" s="46"/>
      <c r="G6" s="46"/>
      <c r="H6" s="47"/>
      <c r="I6" s="143"/>
      <c r="J6" s="144"/>
      <c r="K6" s="144"/>
      <c r="L6" s="144"/>
      <c r="M6" s="144"/>
      <c r="N6" s="145"/>
      <c r="O6" s="137"/>
      <c r="P6" s="138"/>
      <c r="Q6" s="138"/>
      <c r="R6" s="138"/>
      <c r="S6" s="138"/>
      <c r="T6" s="138"/>
      <c r="U6" s="139"/>
    </row>
    <row r="7" spans="1:21" ht="132.44999999999999" customHeight="1" x14ac:dyDescent="0.3">
      <c r="A7" s="124"/>
      <c r="B7" s="122"/>
      <c r="C7" s="122"/>
      <c r="D7" s="120"/>
      <c r="E7" s="146" t="s">
        <v>25</v>
      </c>
      <c r="F7" s="147" t="s">
        <v>26</v>
      </c>
      <c r="G7" s="147" t="s">
        <v>29</v>
      </c>
      <c r="H7" s="148" t="s">
        <v>91</v>
      </c>
      <c r="I7" s="149" t="s">
        <v>25</v>
      </c>
      <c r="J7" s="150" t="s">
        <v>26</v>
      </c>
      <c r="K7" s="150" t="s">
        <v>27</v>
      </c>
      <c r="L7" s="150" t="s">
        <v>29</v>
      </c>
      <c r="M7" s="150" t="s">
        <v>30</v>
      </c>
      <c r="N7" s="151" t="s">
        <v>31</v>
      </c>
      <c r="O7" s="152" t="s">
        <v>25</v>
      </c>
      <c r="P7" s="153" t="s">
        <v>26</v>
      </c>
      <c r="Q7" s="153" t="s">
        <v>27</v>
      </c>
      <c r="R7" s="153" t="s">
        <v>29</v>
      </c>
      <c r="S7" s="153" t="s">
        <v>30</v>
      </c>
      <c r="T7" s="153" t="s">
        <v>31</v>
      </c>
      <c r="U7" s="154" t="s">
        <v>12</v>
      </c>
    </row>
    <row r="8" spans="1:21" ht="19.95" customHeight="1" x14ac:dyDescent="0.3">
      <c r="A8" s="50">
        <v>64</v>
      </c>
      <c r="B8" s="32"/>
      <c r="C8" s="32"/>
      <c r="D8" s="33" t="s">
        <v>43</v>
      </c>
      <c r="E8" s="37">
        <f>SUM(E9,E18,E27,E33,E37,E45,E50,E59)</f>
        <v>0</v>
      </c>
      <c r="F8" s="34">
        <f t="shared" ref="F8:U8" si="0">SUM(F9,F18,F27,F33,F37,F45,F50,F59)</f>
        <v>2573.5</v>
      </c>
      <c r="G8" s="34">
        <f t="shared" si="0"/>
        <v>78.899999999999991</v>
      </c>
      <c r="H8" s="38">
        <f t="shared" si="0"/>
        <v>191.8</v>
      </c>
      <c r="I8" s="35">
        <f t="shared" si="0"/>
        <v>0.67996290729689501</v>
      </c>
      <c r="J8" s="34">
        <f t="shared" si="0"/>
        <v>115.44581105122909</v>
      </c>
      <c r="K8" s="34">
        <f t="shared" si="0"/>
        <v>72.352849547932678</v>
      </c>
      <c r="L8" s="34">
        <f t="shared" si="0"/>
        <v>2.4080978788912821</v>
      </c>
      <c r="M8" s="34">
        <f t="shared" si="0"/>
        <v>0</v>
      </c>
      <c r="N8" s="64">
        <f t="shared" si="0"/>
        <v>0.91327861465005444</v>
      </c>
      <c r="O8" s="37">
        <f t="shared" si="0"/>
        <v>1.2000000000000002</v>
      </c>
      <c r="P8" s="34">
        <f t="shared" si="0"/>
        <v>2689.2999999999993</v>
      </c>
      <c r="Q8" s="34">
        <f t="shared" si="0"/>
        <v>72.8</v>
      </c>
      <c r="R8" s="34">
        <f t="shared" si="0"/>
        <v>81.7</v>
      </c>
      <c r="S8" s="34">
        <f t="shared" si="0"/>
        <v>0</v>
      </c>
      <c r="T8" s="34">
        <f t="shared" si="0"/>
        <v>1.4000000000000001</v>
      </c>
      <c r="U8" s="38">
        <f t="shared" si="0"/>
        <v>2846.3999999999992</v>
      </c>
    </row>
    <row r="9" spans="1:21" ht="19.95" hidden="1" customHeight="1" x14ac:dyDescent="0.3">
      <c r="A9" s="51"/>
      <c r="B9" s="23">
        <v>6401</v>
      </c>
      <c r="C9" s="23"/>
      <c r="D9" s="21" t="s">
        <v>90</v>
      </c>
      <c r="E9" s="39">
        <f>SUM(E10:E17)</f>
        <v>0</v>
      </c>
      <c r="F9" s="22">
        <f>SUM(F10:F17)</f>
        <v>0</v>
      </c>
      <c r="G9" s="22">
        <f t="shared" ref="G9:U9" si="1">SUM(G10:G17)</f>
        <v>0</v>
      </c>
      <c r="H9" s="40">
        <f t="shared" si="1"/>
        <v>0</v>
      </c>
      <c r="I9" s="36">
        <f t="shared" si="1"/>
        <v>0</v>
      </c>
      <c r="J9" s="22">
        <f t="shared" si="1"/>
        <v>0</v>
      </c>
      <c r="K9" s="22">
        <f t="shared" si="1"/>
        <v>0</v>
      </c>
      <c r="L9" s="22">
        <f t="shared" si="1"/>
        <v>0</v>
      </c>
      <c r="M9" s="22">
        <f t="shared" si="1"/>
        <v>0</v>
      </c>
      <c r="N9" s="65">
        <f t="shared" si="1"/>
        <v>0</v>
      </c>
      <c r="O9" s="39">
        <f>SUM(O10:O17)</f>
        <v>0</v>
      </c>
      <c r="P9" s="22">
        <f t="shared" si="1"/>
        <v>0</v>
      </c>
      <c r="Q9" s="22">
        <f t="shared" si="1"/>
        <v>0</v>
      </c>
      <c r="R9" s="22">
        <f t="shared" si="1"/>
        <v>0</v>
      </c>
      <c r="S9" s="22">
        <f t="shared" si="1"/>
        <v>0</v>
      </c>
      <c r="T9" s="22">
        <f t="shared" si="1"/>
        <v>0</v>
      </c>
      <c r="U9" s="40">
        <f t="shared" si="1"/>
        <v>0</v>
      </c>
    </row>
    <row r="10" spans="1:21" ht="19.95" hidden="1" customHeight="1" x14ac:dyDescent="0.3">
      <c r="A10" s="52"/>
      <c r="B10" s="24"/>
      <c r="C10" s="24">
        <v>64011</v>
      </c>
      <c r="D10" s="25" t="s">
        <v>44</v>
      </c>
      <c r="E10" s="43"/>
      <c r="F10" s="27"/>
      <c r="G10" s="27"/>
      <c r="H10" s="44"/>
      <c r="I10" s="49">
        <f>H10*Subsector!$S$11</f>
        <v>0</v>
      </c>
      <c r="J10" s="26">
        <f>H10*Subsector!$S$12</f>
        <v>0</v>
      </c>
      <c r="K10" s="26">
        <f>H10*Subsector!$S$13</f>
        <v>0</v>
      </c>
      <c r="L10" s="26">
        <f>H10*Subsector!$S$15</f>
        <v>0</v>
      </c>
      <c r="M10" s="26">
        <f>H10*Subsector!$S$16</f>
        <v>0</v>
      </c>
      <c r="N10" s="66">
        <f>H10*Subsector!$S$17</f>
        <v>0</v>
      </c>
      <c r="O10" s="41">
        <f t="shared" ref="O10:P17" si="2">ROUNDUP(SUM(E10,I10),1)</f>
        <v>0</v>
      </c>
      <c r="P10" s="26">
        <f t="shared" si="2"/>
        <v>0</v>
      </c>
      <c r="Q10" s="26">
        <f t="shared" ref="Q10:Q17" si="3">ROUNDUP(SUM(K10),1)</f>
        <v>0</v>
      </c>
      <c r="R10" s="26">
        <f t="shared" ref="R10:R17" si="4">ROUNDUP(SUM(G10,L10),1)</f>
        <v>0</v>
      </c>
      <c r="S10" s="26">
        <f t="shared" ref="S10:T17" si="5">ROUNDUP(SUM(M10),1)</f>
        <v>0</v>
      </c>
      <c r="T10" s="26">
        <f t="shared" si="5"/>
        <v>0</v>
      </c>
      <c r="U10" s="42">
        <f t="shared" ref="U10:U17" si="6">SUM(O10:T10)</f>
        <v>0</v>
      </c>
    </row>
    <row r="11" spans="1:21" ht="19.95" hidden="1" customHeight="1" x14ac:dyDescent="0.3">
      <c r="A11" s="52"/>
      <c r="B11" s="24"/>
      <c r="C11" s="24">
        <v>64012</v>
      </c>
      <c r="D11" s="25" t="s">
        <v>89</v>
      </c>
      <c r="E11" s="43"/>
      <c r="F11" s="27"/>
      <c r="G11" s="27"/>
      <c r="H11" s="44"/>
      <c r="I11" s="49">
        <f>H11*Subsector!$S$11</f>
        <v>0</v>
      </c>
      <c r="J11" s="26">
        <f>H11*Subsector!$S$12</f>
        <v>0</v>
      </c>
      <c r="K11" s="26">
        <f>H11*Subsector!$S$13</f>
        <v>0</v>
      </c>
      <c r="L11" s="26">
        <f>H11*Subsector!$S$15</f>
        <v>0</v>
      </c>
      <c r="M11" s="26">
        <f>H11*Subsector!$S$16</f>
        <v>0</v>
      </c>
      <c r="N11" s="66">
        <f>H11*Subsector!$S$17</f>
        <v>0</v>
      </c>
      <c r="O11" s="41">
        <f t="shared" si="2"/>
        <v>0</v>
      </c>
      <c r="P11" s="26">
        <f t="shared" si="2"/>
        <v>0</v>
      </c>
      <c r="Q11" s="26">
        <f t="shared" si="3"/>
        <v>0</v>
      </c>
      <c r="R11" s="26">
        <f t="shared" si="4"/>
        <v>0</v>
      </c>
      <c r="S11" s="26">
        <f t="shared" si="5"/>
        <v>0</v>
      </c>
      <c r="T11" s="26">
        <f t="shared" si="5"/>
        <v>0</v>
      </c>
      <c r="U11" s="42">
        <f t="shared" si="6"/>
        <v>0</v>
      </c>
    </row>
    <row r="12" spans="1:21" ht="19.95" hidden="1" customHeight="1" x14ac:dyDescent="0.3">
      <c r="A12" s="52"/>
      <c r="B12" s="24"/>
      <c r="C12" s="24">
        <v>64013</v>
      </c>
      <c r="D12" s="25" t="s">
        <v>45</v>
      </c>
      <c r="E12" s="43"/>
      <c r="F12" s="27">
        <v>0</v>
      </c>
      <c r="G12" s="27">
        <v>0</v>
      </c>
      <c r="H12" s="44">
        <v>0</v>
      </c>
      <c r="I12" s="49">
        <f>H12*Subsector!$S$11</f>
        <v>0</v>
      </c>
      <c r="J12" s="26">
        <f>H12*Subsector!$S$12</f>
        <v>0</v>
      </c>
      <c r="K12" s="26">
        <f>H12*Subsector!$S$13</f>
        <v>0</v>
      </c>
      <c r="L12" s="26">
        <f>H12*Subsector!$S$15</f>
        <v>0</v>
      </c>
      <c r="M12" s="26">
        <f>H12*Subsector!$S$16</f>
        <v>0</v>
      </c>
      <c r="N12" s="66">
        <f>H12*Subsector!$S$17</f>
        <v>0</v>
      </c>
      <c r="O12" s="41">
        <f t="shared" si="2"/>
        <v>0</v>
      </c>
      <c r="P12" s="26">
        <f t="shared" si="2"/>
        <v>0</v>
      </c>
      <c r="Q12" s="26">
        <f t="shared" si="3"/>
        <v>0</v>
      </c>
      <c r="R12" s="26">
        <f t="shared" si="4"/>
        <v>0</v>
      </c>
      <c r="S12" s="26">
        <f t="shared" si="5"/>
        <v>0</v>
      </c>
      <c r="T12" s="26">
        <f t="shared" si="5"/>
        <v>0</v>
      </c>
      <c r="U12" s="42">
        <f t="shared" si="6"/>
        <v>0</v>
      </c>
    </row>
    <row r="13" spans="1:21" ht="19.95" hidden="1" customHeight="1" x14ac:dyDescent="0.3">
      <c r="A13" s="52"/>
      <c r="B13" s="24"/>
      <c r="C13" s="24">
        <v>64014</v>
      </c>
      <c r="D13" s="25" t="s">
        <v>46</v>
      </c>
      <c r="E13" s="43"/>
      <c r="F13" s="27">
        <v>0</v>
      </c>
      <c r="G13" s="27">
        <v>0</v>
      </c>
      <c r="H13" s="44">
        <v>0</v>
      </c>
      <c r="I13" s="49">
        <f>H13*Subsector!$S$11</f>
        <v>0</v>
      </c>
      <c r="J13" s="26">
        <f>H13*Subsector!$S$12</f>
        <v>0</v>
      </c>
      <c r="K13" s="26">
        <f>H13*Subsector!$S$13</f>
        <v>0</v>
      </c>
      <c r="L13" s="26">
        <f>H13*Subsector!$S$15</f>
        <v>0</v>
      </c>
      <c r="M13" s="26">
        <f>H13*Subsector!$S$16</f>
        <v>0</v>
      </c>
      <c r="N13" s="66">
        <f>H13*Subsector!$S$17</f>
        <v>0</v>
      </c>
      <c r="O13" s="41">
        <f t="shared" si="2"/>
        <v>0</v>
      </c>
      <c r="P13" s="26">
        <f t="shared" si="2"/>
        <v>0</v>
      </c>
      <c r="Q13" s="26">
        <f t="shared" si="3"/>
        <v>0</v>
      </c>
      <c r="R13" s="26">
        <f t="shared" si="4"/>
        <v>0</v>
      </c>
      <c r="S13" s="26">
        <f t="shared" si="5"/>
        <v>0</v>
      </c>
      <c r="T13" s="26">
        <f t="shared" si="5"/>
        <v>0</v>
      </c>
      <c r="U13" s="42">
        <f t="shared" si="6"/>
        <v>0</v>
      </c>
    </row>
    <row r="14" spans="1:21" ht="19.95" hidden="1" customHeight="1" x14ac:dyDescent="0.3">
      <c r="A14" s="52"/>
      <c r="B14" s="24"/>
      <c r="C14" s="24">
        <v>64015</v>
      </c>
      <c r="D14" s="25" t="s">
        <v>47</v>
      </c>
      <c r="E14" s="43"/>
      <c r="F14" s="27"/>
      <c r="G14" s="27"/>
      <c r="H14" s="44"/>
      <c r="I14" s="49">
        <f>H14*Subsector!$S$11</f>
        <v>0</v>
      </c>
      <c r="J14" s="26">
        <f>H14*Subsector!$S$12</f>
        <v>0</v>
      </c>
      <c r="K14" s="26">
        <f>H14*Subsector!$S$13</f>
        <v>0</v>
      </c>
      <c r="L14" s="26">
        <f>H14*Subsector!$S$15</f>
        <v>0</v>
      </c>
      <c r="M14" s="26">
        <f>H14*Subsector!$S$16</f>
        <v>0</v>
      </c>
      <c r="N14" s="66">
        <f>H14*Subsector!$S$17</f>
        <v>0</v>
      </c>
      <c r="O14" s="41">
        <f t="shared" si="2"/>
        <v>0</v>
      </c>
      <c r="P14" s="26">
        <f t="shared" si="2"/>
        <v>0</v>
      </c>
      <c r="Q14" s="26">
        <f t="shared" si="3"/>
        <v>0</v>
      </c>
      <c r="R14" s="26">
        <f t="shared" si="4"/>
        <v>0</v>
      </c>
      <c r="S14" s="26">
        <f t="shared" si="5"/>
        <v>0</v>
      </c>
      <c r="T14" s="26">
        <f t="shared" si="5"/>
        <v>0</v>
      </c>
      <c r="U14" s="42">
        <f t="shared" si="6"/>
        <v>0</v>
      </c>
    </row>
    <row r="15" spans="1:21" ht="19.95" hidden="1" customHeight="1" x14ac:dyDescent="0.3">
      <c r="A15" s="52"/>
      <c r="B15" s="24"/>
      <c r="C15" s="24">
        <v>64016</v>
      </c>
      <c r="D15" s="25" t="s">
        <v>48</v>
      </c>
      <c r="E15" s="43"/>
      <c r="F15" s="27"/>
      <c r="G15" s="27"/>
      <c r="H15" s="44"/>
      <c r="I15" s="49">
        <f>H15*Subsector!$S$11</f>
        <v>0</v>
      </c>
      <c r="J15" s="26">
        <f>H15*Subsector!$S$12</f>
        <v>0</v>
      </c>
      <c r="K15" s="26">
        <f>H15*Subsector!$S$13</f>
        <v>0</v>
      </c>
      <c r="L15" s="26">
        <f>H15*Subsector!$S$15</f>
        <v>0</v>
      </c>
      <c r="M15" s="26">
        <f>H15*Subsector!$S$16</f>
        <v>0</v>
      </c>
      <c r="N15" s="66">
        <f>H15*Subsector!$S$17</f>
        <v>0</v>
      </c>
      <c r="O15" s="41">
        <f t="shared" si="2"/>
        <v>0</v>
      </c>
      <c r="P15" s="26">
        <f t="shared" si="2"/>
        <v>0</v>
      </c>
      <c r="Q15" s="26">
        <f t="shared" si="3"/>
        <v>0</v>
      </c>
      <c r="R15" s="26">
        <f t="shared" si="4"/>
        <v>0</v>
      </c>
      <c r="S15" s="26">
        <f t="shared" si="5"/>
        <v>0</v>
      </c>
      <c r="T15" s="26">
        <f t="shared" si="5"/>
        <v>0</v>
      </c>
      <c r="U15" s="42">
        <f t="shared" si="6"/>
        <v>0</v>
      </c>
    </row>
    <row r="16" spans="1:21" ht="19.95" hidden="1" customHeight="1" x14ac:dyDescent="0.3">
      <c r="A16" s="52"/>
      <c r="B16" s="24"/>
      <c r="C16" s="24">
        <v>64017</v>
      </c>
      <c r="D16" s="25" t="s">
        <v>49</v>
      </c>
      <c r="E16" s="43"/>
      <c r="F16" s="27"/>
      <c r="G16" s="27"/>
      <c r="H16" s="44"/>
      <c r="I16" s="49">
        <f>H16*Subsector!$S$11</f>
        <v>0</v>
      </c>
      <c r="J16" s="26">
        <f>H16*Subsector!$S$12</f>
        <v>0</v>
      </c>
      <c r="K16" s="26">
        <f>H16*Subsector!$S$13</f>
        <v>0</v>
      </c>
      <c r="L16" s="26">
        <f>H16*Subsector!$S$15</f>
        <v>0</v>
      </c>
      <c r="M16" s="26">
        <f>H16*Subsector!$S$16</f>
        <v>0</v>
      </c>
      <c r="N16" s="66">
        <f>H16*Subsector!$S$17</f>
        <v>0</v>
      </c>
      <c r="O16" s="41">
        <f t="shared" si="2"/>
        <v>0</v>
      </c>
      <c r="P16" s="26">
        <f t="shared" si="2"/>
        <v>0</v>
      </c>
      <c r="Q16" s="26">
        <f t="shared" si="3"/>
        <v>0</v>
      </c>
      <c r="R16" s="26">
        <f t="shared" si="4"/>
        <v>0</v>
      </c>
      <c r="S16" s="26">
        <f t="shared" si="5"/>
        <v>0</v>
      </c>
      <c r="T16" s="26">
        <f t="shared" si="5"/>
        <v>0</v>
      </c>
      <c r="U16" s="42">
        <f t="shared" si="6"/>
        <v>0</v>
      </c>
    </row>
    <row r="17" spans="1:21" ht="19.95" hidden="1" customHeight="1" x14ac:dyDescent="0.3">
      <c r="A17" s="52"/>
      <c r="B17" s="24"/>
      <c r="C17" s="24">
        <v>64018</v>
      </c>
      <c r="D17" s="25" t="s">
        <v>50</v>
      </c>
      <c r="E17" s="43"/>
      <c r="F17" s="27"/>
      <c r="G17" s="27"/>
      <c r="H17" s="44"/>
      <c r="I17" s="49">
        <f>H17*Subsector!$S$11</f>
        <v>0</v>
      </c>
      <c r="J17" s="26">
        <f>H17*Subsector!$S$12</f>
        <v>0</v>
      </c>
      <c r="K17" s="26">
        <f>H17*Subsector!$S$13</f>
        <v>0</v>
      </c>
      <c r="L17" s="26">
        <f>H17*Subsector!$S$15</f>
        <v>0</v>
      </c>
      <c r="M17" s="26">
        <f>H17*Subsector!$S$16</f>
        <v>0</v>
      </c>
      <c r="N17" s="66">
        <f>H17*Subsector!$S$17</f>
        <v>0</v>
      </c>
      <c r="O17" s="41">
        <f t="shared" si="2"/>
        <v>0</v>
      </c>
      <c r="P17" s="26">
        <f t="shared" si="2"/>
        <v>0</v>
      </c>
      <c r="Q17" s="26">
        <f t="shared" si="3"/>
        <v>0</v>
      </c>
      <c r="R17" s="26">
        <f t="shared" si="4"/>
        <v>0</v>
      </c>
      <c r="S17" s="26">
        <f t="shared" si="5"/>
        <v>0</v>
      </c>
      <c r="T17" s="26">
        <f t="shared" si="5"/>
        <v>0</v>
      </c>
      <c r="U17" s="42">
        <f t="shared" si="6"/>
        <v>0</v>
      </c>
    </row>
    <row r="18" spans="1:21" ht="19.95" customHeight="1" x14ac:dyDescent="0.3">
      <c r="A18" s="51"/>
      <c r="B18" s="23">
        <v>6402</v>
      </c>
      <c r="C18" s="23"/>
      <c r="D18" s="21" t="s">
        <v>51</v>
      </c>
      <c r="E18" s="39">
        <f>SUM(E19:E26)</f>
        <v>0</v>
      </c>
      <c r="F18" s="22">
        <f t="shared" ref="F18:U18" si="7">SUM(F19:F26)</f>
        <v>2459.4</v>
      </c>
      <c r="G18" s="22">
        <f t="shared" si="7"/>
        <v>0</v>
      </c>
      <c r="H18" s="40">
        <f t="shared" si="7"/>
        <v>189.2</v>
      </c>
      <c r="I18" s="36">
        <f t="shared" si="7"/>
        <v>0.67074547476836566</v>
      </c>
      <c r="J18" s="22">
        <f t="shared" si="7"/>
        <v>113.88085219443454</v>
      </c>
      <c r="K18" s="22">
        <f t="shared" si="7"/>
        <v>71.372049710473732</v>
      </c>
      <c r="L18" s="22">
        <f t="shared" si="7"/>
        <v>2.3754542162994294</v>
      </c>
      <c r="M18" s="22">
        <f t="shared" si="7"/>
        <v>0</v>
      </c>
      <c r="N18" s="65">
        <f t="shared" si="7"/>
        <v>0.90089840402393284</v>
      </c>
      <c r="O18" s="39">
        <f t="shared" si="7"/>
        <v>0.9</v>
      </c>
      <c r="P18" s="22">
        <f t="shared" si="7"/>
        <v>2573.4999999999995</v>
      </c>
      <c r="Q18" s="22">
        <f t="shared" si="7"/>
        <v>71.599999999999994</v>
      </c>
      <c r="R18" s="22">
        <f t="shared" si="7"/>
        <v>2.5000000000000004</v>
      </c>
      <c r="S18" s="22">
        <f t="shared" si="7"/>
        <v>0</v>
      </c>
      <c r="T18" s="22">
        <f t="shared" si="7"/>
        <v>1.1000000000000001</v>
      </c>
      <c r="U18" s="40">
        <f t="shared" si="7"/>
        <v>2649.5999999999995</v>
      </c>
    </row>
    <row r="19" spans="1:21" ht="19.95" customHeight="1" x14ac:dyDescent="0.3">
      <c r="A19" s="52"/>
      <c r="B19" s="24"/>
      <c r="C19" s="24">
        <v>64021</v>
      </c>
      <c r="D19" s="25" t="s">
        <v>52</v>
      </c>
      <c r="E19" s="43"/>
      <c r="F19" s="27">
        <v>996.6</v>
      </c>
      <c r="G19" s="27">
        <v>0</v>
      </c>
      <c r="H19" s="44">
        <v>88.899999999999991</v>
      </c>
      <c r="I19" s="49">
        <f>H19*Subsector!$S$11</f>
        <v>0.31516528914856085</v>
      </c>
      <c r="J19" s="26">
        <f>H19*Subsector!$S$12</f>
        <v>53.50955475732151</v>
      </c>
      <c r="K19" s="26">
        <f>H19*Subsector!$S$13</f>
        <v>33.535809826961497</v>
      </c>
      <c r="L19" s="26">
        <f>H19*Subsector!$S$15</f>
        <v>1.1161621555444994</v>
      </c>
      <c r="M19" s="26">
        <f>H19*Subsector!$S$16</f>
        <v>0</v>
      </c>
      <c r="N19" s="66">
        <f>H19*Subsector!$S$17</f>
        <v>0.42330797102393036</v>
      </c>
      <c r="O19" s="41">
        <f t="shared" ref="O19:P26" si="8">ROUNDUP(SUM(E19,I19),1)</f>
        <v>0.4</v>
      </c>
      <c r="P19" s="26">
        <f t="shared" si="8"/>
        <v>1050.1999999999998</v>
      </c>
      <c r="Q19" s="26">
        <f t="shared" ref="Q19:Q26" si="9">ROUNDUP(SUM(K19),1)</f>
        <v>33.6</v>
      </c>
      <c r="R19" s="26">
        <f t="shared" ref="R19:R26" si="10">ROUNDUP(SUM(G19,L19),1)</f>
        <v>1.2000000000000002</v>
      </c>
      <c r="S19" s="26">
        <f t="shared" ref="S19:T26" si="11">ROUNDUP(SUM(M19),1)</f>
        <v>0</v>
      </c>
      <c r="T19" s="26">
        <f t="shared" si="11"/>
        <v>0.5</v>
      </c>
      <c r="U19" s="42">
        <f t="shared" ref="U19:U26" si="12">SUM(O19:T19)</f>
        <v>1085.8999999999999</v>
      </c>
    </row>
    <row r="20" spans="1:21" ht="19.95" customHeight="1" x14ac:dyDescent="0.3">
      <c r="A20" s="52"/>
      <c r="B20" s="24"/>
      <c r="C20" s="24">
        <v>64022</v>
      </c>
      <c r="D20" s="25" t="s">
        <v>53</v>
      </c>
      <c r="E20" s="43"/>
      <c r="F20" s="27">
        <v>988.30000000000007</v>
      </c>
      <c r="G20" s="27">
        <v>0</v>
      </c>
      <c r="H20" s="44">
        <v>87.3</v>
      </c>
      <c r="I20" s="49">
        <f>H20*Subsector!$S$11</f>
        <v>0.30949302297715819</v>
      </c>
      <c r="J20" s="26">
        <f>H20*Subsector!$S$12</f>
        <v>52.54650315314025</v>
      </c>
      <c r="K20" s="26">
        <f>H20*Subsector!$S$13</f>
        <v>32.932240696217534</v>
      </c>
      <c r="L20" s="26">
        <f>H20*Subsector!$S$15</f>
        <v>1.096073747795667</v>
      </c>
      <c r="M20" s="26">
        <f>H20*Subsector!$S$16</f>
        <v>0</v>
      </c>
      <c r="N20" s="66">
        <f>H20*Subsector!$S$17</f>
        <v>0.41568937986939397</v>
      </c>
      <c r="O20" s="41">
        <f t="shared" si="8"/>
        <v>0.4</v>
      </c>
      <c r="P20" s="26">
        <f t="shared" si="8"/>
        <v>1040.8999999999999</v>
      </c>
      <c r="Q20" s="26">
        <f t="shared" si="9"/>
        <v>33</v>
      </c>
      <c r="R20" s="26">
        <f t="shared" si="10"/>
        <v>1.1000000000000001</v>
      </c>
      <c r="S20" s="26">
        <f t="shared" si="11"/>
        <v>0</v>
      </c>
      <c r="T20" s="26">
        <f t="shared" si="11"/>
        <v>0.5</v>
      </c>
      <c r="U20" s="42">
        <f t="shared" si="12"/>
        <v>1075.8999999999999</v>
      </c>
    </row>
    <row r="21" spans="1:21" ht="19.95" customHeight="1" x14ac:dyDescent="0.3">
      <c r="A21" s="52"/>
      <c r="B21" s="24"/>
      <c r="C21" s="24">
        <v>64023</v>
      </c>
      <c r="D21" s="25" t="s">
        <v>54</v>
      </c>
      <c r="E21" s="43"/>
      <c r="F21" s="27">
        <v>327.60000000000002</v>
      </c>
      <c r="G21" s="27">
        <v>0</v>
      </c>
      <c r="H21" s="44">
        <v>0</v>
      </c>
      <c r="I21" s="49">
        <f>H21*Subsector!$S$11</f>
        <v>0</v>
      </c>
      <c r="J21" s="26">
        <f>H21*Subsector!$S$12</f>
        <v>0</v>
      </c>
      <c r="K21" s="26">
        <f>H21*Subsector!$S$13</f>
        <v>0</v>
      </c>
      <c r="L21" s="26">
        <f>H21*Subsector!$S$15</f>
        <v>0</v>
      </c>
      <c r="M21" s="26">
        <f>H21*Subsector!$S$16</f>
        <v>0</v>
      </c>
      <c r="N21" s="66">
        <f>H21*Subsector!$S$17</f>
        <v>0</v>
      </c>
      <c r="O21" s="41">
        <f t="shared" si="8"/>
        <v>0</v>
      </c>
      <c r="P21" s="26">
        <f t="shared" si="8"/>
        <v>327.60000000000002</v>
      </c>
      <c r="Q21" s="26">
        <f t="shared" si="9"/>
        <v>0</v>
      </c>
      <c r="R21" s="26">
        <f t="shared" si="10"/>
        <v>0</v>
      </c>
      <c r="S21" s="26">
        <f t="shared" si="11"/>
        <v>0</v>
      </c>
      <c r="T21" s="26">
        <f t="shared" si="11"/>
        <v>0</v>
      </c>
      <c r="U21" s="42">
        <f t="shared" si="12"/>
        <v>327.60000000000002</v>
      </c>
    </row>
    <row r="22" spans="1:21" ht="19.95" hidden="1" customHeight="1" x14ac:dyDescent="0.3">
      <c r="A22" s="52"/>
      <c r="B22" s="24"/>
      <c r="C22" s="24">
        <v>64024</v>
      </c>
      <c r="D22" s="25" t="s">
        <v>55</v>
      </c>
      <c r="E22" s="43"/>
      <c r="F22" s="27"/>
      <c r="G22" s="27"/>
      <c r="H22" s="44"/>
      <c r="I22" s="49">
        <f>H22*Subsector!$S$11</f>
        <v>0</v>
      </c>
      <c r="J22" s="26">
        <f>H22*Subsector!$S$12</f>
        <v>0</v>
      </c>
      <c r="K22" s="26">
        <f>H22*Subsector!$S$13</f>
        <v>0</v>
      </c>
      <c r="L22" s="26">
        <f>H22*Subsector!$S$15</f>
        <v>0</v>
      </c>
      <c r="M22" s="26">
        <f>H22*Subsector!$S$16</f>
        <v>0</v>
      </c>
      <c r="N22" s="66">
        <f>H22*Subsector!$S$17</f>
        <v>0</v>
      </c>
      <c r="O22" s="41">
        <f t="shared" si="8"/>
        <v>0</v>
      </c>
      <c r="P22" s="26">
        <f t="shared" si="8"/>
        <v>0</v>
      </c>
      <c r="Q22" s="26">
        <f t="shared" si="9"/>
        <v>0</v>
      </c>
      <c r="R22" s="26">
        <f t="shared" si="10"/>
        <v>0</v>
      </c>
      <c r="S22" s="26">
        <f t="shared" si="11"/>
        <v>0</v>
      </c>
      <c r="T22" s="26">
        <f t="shared" si="11"/>
        <v>0</v>
      </c>
      <c r="U22" s="42">
        <f t="shared" si="12"/>
        <v>0</v>
      </c>
    </row>
    <row r="23" spans="1:21" ht="19.95" hidden="1" customHeight="1" x14ac:dyDescent="0.3">
      <c r="A23" s="52"/>
      <c r="B23" s="24"/>
      <c r="C23" s="24">
        <v>64025</v>
      </c>
      <c r="D23" s="25" t="s">
        <v>56</v>
      </c>
      <c r="E23" s="43"/>
      <c r="F23" s="27"/>
      <c r="G23" s="27"/>
      <c r="H23" s="44"/>
      <c r="I23" s="49">
        <f>H23*Subsector!$S$11</f>
        <v>0</v>
      </c>
      <c r="J23" s="26">
        <f>H23*Subsector!$S$12</f>
        <v>0</v>
      </c>
      <c r="K23" s="26">
        <f>H23*Subsector!$S$13</f>
        <v>0</v>
      </c>
      <c r="L23" s="26">
        <f>H23*Subsector!$S$15</f>
        <v>0</v>
      </c>
      <c r="M23" s="26">
        <f>H23*Subsector!$S$16</f>
        <v>0</v>
      </c>
      <c r="N23" s="66">
        <f>H23*Subsector!$S$17</f>
        <v>0</v>
      </c>
      <c r="O23" s="41">
        <f t="shared" si="8"/>
        <v>0</v>
      </c>
      <c r="P23" s="26">
        <f t="shared" si="8"/>
        <v>0</v>
      </c>
      <c r="Q23" s="26">
        <f t="shared" si="9"/>
        <v>0</v>
      </c>
      <c r="R23" s="26">
        <f t="shared" si="10"/>
        <v>0</v>
      </c>
      <c r="S23" s="26">
        <f t="shared" si="11"/>
        <v>0</v>
      </c>
      <c r="T23" s="26">
        <f t="shared" si="11"/>
        <v>0</v>
      </c>
      <c r="U23" s="42">
        <f t="shared" si="12"/>
        <v>0</v>
      </c>
    </row>
    <row r="24" spans="1:21" ht="19.95" customHeight="1" x14ac:dyDescent="0.3">
      <c r="A24" s="52"/>
      <c r="B24" s="24"/>
      <c r="C24" s="24">
        <v>64026</v>
      </c>
      <c r="D24" s="25" t="s">
        <v>57</v>
      </c>
      <c r="E24" s="43"/>
      <c r="F24" s="27">
        <v>146.9</v>
      </c>
      <c r="G24" s="27">
        <v>0</v>
      </c>
      <c r="H24" s="44">
        <v>13</v>
      </c>
      <c r="I24" s="49">
        <f>H24*Subsector!$S$11</f>
        <v>4.6087162642646694E-2</v>
      </c>
      <c r="J24" s="26">
        <f>H24*Subsector!$S$12</f>
        <v>7.8247942839727749</v>
      </c>
      <c r="K24" s="26">
        <f>H24*Subsector!$S$13</f>
        <v>4.9039991872947075</v>
      </c>
      <c r="L24" s="26">
        <f>H24*Subsector!$S$15</f>
        <v>0.16321831295926312</v>
      </c>
      <c r="M24" s="26">
        <f>H24*Subsector!$S$16</f>
        <v>0</v>
      </c>
      <c r="N24" s="66">
        <f>H24*Subsector!$S$17</f>
        <v>6.1901053130608494E-2</v>
      </c>
      <c r="O24" s="41">
        <f t="shared" si="8"/>
        <v>0.1</v>
      </c>
      <c r="P24" s="26">
        <f t="shared" si="8"/>
        <v>154.79999999999998</v>
      </c>
      <c r="Q24" s="26">
        <f t="shared" si="9"/>
        <v>5</v>
      </c>
      <c r="R24" s="26">
        <f t="shared" si="10"/>
        <v>0.2</v>
      </c>
      <c r="S24" s="26">
        <f t="shared" si="11"/>
        <v>0</v>
      </c>
      <c r="T24" s="26">
        <f t="shared" si="11"/>
        <v>0.1</v>
      </c>
      <c r="U24" s="42">
        <f t="shared" si="12"/>
        <v>160.19999999999996</v>
      </c>
    </row>
    <row r="25" spans="1:21" ht="19.95" hidden="1" customHeight="1" x14ac:dyDescent="0.3">
      <c r="A25" s="52"/>
      <c r="B25" s="24"/>
      <c r="C25" s="24">
        <v>64027</v>
      </c>
      <c r="D25" s="25" t="s">
        <v>58</v>
      </c>
      <c r="E25" s="43"/>
      <c r="F25" s="27"/>
      <c r="G25" s="27"/>
      <c r="H25" s="44"/>
      <c r="I25" s="49">
        <f>H25*Subsector!$S$11</f>
        <v>0</v>
      </c>
      <c r="J25" s="26">
        <f>H25*Subsector!$S$12</f>
        <v>0</v>
      </c>
      <c r="K25" s="26">
        <f>H25*Subsector!$S$13</f>
        <v>0</v>
      </c>
      <c r="L25" s="26">
        <f>H25*Subsector!$S$15</f>
        <v>0</v>
      </c>
      <c r="M25" s="26">
        <f>H25*Subsector!$S$16</f>
        <v>0</v>
      </c>
      <c r="N25" s="66">
        <f>H25*Subsector!$S$17</f>
        <v>0</v>
      </c>
      <c r="O25" s="41">
        <f t="shared" si="8"/>
        <v>0</v>
      </c>
      <c r="P25" s="26">
        <f t="shared" si="8"/>
        <v>0</v>
      </c>
      <c r="Q25" s="26">
        <f t="shared" si="9"/>
        <v>0</v>
      </c>
      <c r="R25" s="26">
        <f t="shared" si="10"/>
        <v>0</v>
      </c>
      <c r="S25" s="26">
        <f t="shared" si="11"/>
        <v>0</v>
      </c>
      <c r="T25" s="26">
        <f t="shared" si="11"/>
        <v>0</v>
      </c>
      <c r="U25" s="42">
        <f t="shared" si="12"/>
        <v>0</v>
      </c>
    </row>
    <row r="26" spans="1:21" ht="19.95" hidden="1" customHeight="1" x14ac:dyDescent="0.3">
      <c r="A26" s="52"/>
      <c r="B26" s="24"/>
      <c r="C26" s="24">
        <v>64028</v>
      </c>
      <c r="D26" s="25" t="s">
        <v>59</v>
      </c>
      <c r="E26" s="43"/>
      <c r="F26" s="27"/>
      <c r="G26" s="27"/>
      <c r="H26" s="44"/>
      <c r="I26" s="49">
        <f>H26*Subsector!$S$11</f>
        <v>0</v>
      </c>
      <c r="J26" s="26">
        <f>H26*Subsector!$S$12</f>
        <v>0</v>
      </c>
      <c r="K26" s="26">
        <f>H26*Subsector!$S$13</f>
        <v>0</v>
      </c>
      <c r="L26" s="26">
        <f>H26*Subsector!$S$15</f>
        <v>0</v>
      </c>
      <c r="M26" s="26">
        <f>H26*Subsector!$S$16</f>
        <v>0</v>
      </c>
      <c r="N26" s="66">
        <f>H26*Subsector!$S$17</f>
        <v>0</v>
      </c>
      <c r="O26" s="41">
        <f t="shared" si="8"/>
        <v>0</v>
      </c>
      <c r="P26" s="26">
        <f t="shared" si="8"/>
        <v>0</v>
      </c>
      <c r="Q26" s="26">
        <f t="shared" si="9"/>
        <v>0</v>
      </c>
      <c r="R26" s="26">
        <f t="shared" si="10"/>
        <v>0</v>
      </c>
      <c r="S26" s="26">
        <f t="shared" si="11"/>
        <v>0</v>
      </c>
      <c r="T26" s="26">
        <f t="shared" si="11"/>
        <v>0</v>
      </c>
      <c r="U26" s="42">
        <f t="shared" si="12"/>
        <v>0</v>
      </c>
    </row>
    <row r="27" spans="1:21" ht="19.95" hidden="1" customHeight="1" x14ac:dyDescent="0.3">
      <c r="A27" s="51"/>
      <c r="B27" s="23">
        <v>6403</v>
      </c>
      <c r="C27" s="23"/>
      <c r="D27" s="21" t="s">
        <v>60</v>
      </c>
      <c r="E27" s="39">
        <f>SUM(E28:E32)</f>
        <v>0</v>
      </c>
      <c r="F27" s="22">
        <f t="shared" ref="F27:U27" si="13">SUM(F28:F32)</f>
        <v>0</v>
      </c>
      <c r="G27" s="22">
        <f t="shared" si="13"/>
        <v>0</v>
      </c>
      <c r="H27" s="40">
        <f t="shared" si="13"/>
        <v>0</v>
      </c>
      <c r="I27" s="36">
        <f t="shared" si="13"/>
        <v>0</v>
      </c>
      <c r="J27" s="22">
        <f t="shared" si="13"/>
        <v>0</v>
      </c>
      <c r="K27" s="22">
        <f t="shared" si="13"/>
        <v>0</v>
      </c>
      <c r="L27" s="22">
        <f t="shared" si="13"/>
        <v>0</v>
      </c>
      <c r="M27" s="22">
        <f t="shared" si="13"/>
        <v>0</v>
      </c>
      <c r="N27" s="65">
        <f t="shared" si="13"/>
        <v>0</v>
      </c>
      <c r="O27" s="39">
        <f t="shared" si="13"/>
        <v>0</v>
      </c>
      <c r="P27" s="22">
        <f t="shared" si="13"/>
        <v>0</v>
      </c>
      <c r="Q27" s="22">
        <f t="shared" si="13"/>
        <v>0</v>
      </c>
      <c r="R27" s="22">
        <f t="shared" si="13"/>
        <v>0</v>
      </c>
      <c r="S27" s="22">
        <f t="shared" si="13"/>
        <v>0</v>
      </c>
      <c r="T27" s="22">
        <f t="shared" si="13"/>
        <v>0</v>
      </c>
      <c r="U27" s="40">
        <f t="shared" si="13"/>
        <v>0</v>
      </c>
    </row>
    <row r="28" spans="1:21" ht="19.95" hidden="1" customHeight="1" x14ac:dyDescent="0.3">
      <c r="A28" s="52"/>
      <c r="B28" s="24"/>
      <c r="C28" s="24">
        <v>64033</v>
      </c>
      <c r="D28" s="25" t="s">
        <v>61</v>
      </c>
      <c r="E28" s="43"/>
      <c r="F28" s="27"/>
      <c r="G28" s="27"/>
      <c r="H28" s="44"/>
      <c r="I28" s="49">
        <f>H28*Subsector!$S$11</f>
        <v>0</v>
      </c>
      <c r="J28" s="26">
        <f>H28*Subsector!$S$12</f>
        <v>0</v>
      </c>
      <c r="K28" s="26">
        <f>H28*Subsector!$S$13</f>
        <v>0</v>
      </c>
      <c r="L28" s="26">
        <f>H28*Subsector!$S$15</f>
        <v>0</v>
      </c>
      <c r="M28" s="26">
        <f>H28*Subsector!$S$16</f>
        <v>0</v>
      </c>
      <c r="N28" s="66">
        <f>H28*Subsector!$S$17</f>
        <v>0</v>
      </c>
      <c r="O28" s="41">
        <f t="shared" ref="O28:P32" si="14">ROUNDUP(SUM(E28,I28),1)</f>
        <v>0</v>
      </c>
      <c r="P28" s="26">
        <f t="shared" si="14"/>
        <v>0</v>
      </c>
      <c r="Q28" s="26">
        <f>ROUNDUP(SUM(K28),1)</f>
        <v>0</v>
      </c>
      <c r="R28" s="26">
        <f>ROUNDUP(SUM(G28,L28),1)</f>
        <v>0</v>
      </c>
      <c r="S28" s="26">
        <f t="shared" ref="S28:T32" si="15">ROUNDUP(SUM(M28),1)</f>
        <v>0</v>
      </c>
      <c r="T28" s="26">
        <f t="shared" si="15"/>
        <v>0</v>
      </c>
      <c r="U28" s="42">
        <f>SUM(O28:T28)</f>
        <v>0</v>
      </c>
    </row>
    <row r="29" spans="1:21" ht="19.95" hidden="1" customHeight="1" x14ac:dyDescent="0.3">
      <c r="A29" s="52"/>
      <c r="B29" s="24"/>
      <c r="C29" s="24">
        <v>64034</v>
      </c>
      <c r="D29" s="25" t="s">
        <v>62</v>
      </c>
      <c r="E29" s="43"/>
      <c r="F29" s="27"/>
      <c r="G29" s="27"/>
      <c r="H29" s="44"/>
      <c r="I29" s="49">
        <f>H29*Subsector!$S$11</f>
        <v>0</v>
      </c>
      <c r="J29" s="26">
        <f>H29*Subsector!$S$12</f>
        <v>0</v>
      </c>
      <c r="K29" s="26">
        <f>H29*Subsector!$S$13</f>
        <v>0</v>
      </c>
      <c r="L29" s="26">
        <f>H29*Subsector!$S$15</f>
        <v>0</v>
      </c>
      <c r="M29" s="26">
        <f>H29*Subsector!$S$16</f>
        <v>0</v>
      </c>
      <c r="N29" s="66">
        <f>H29*Subsector!$S$17</f>
        <v>0</v>
      </c>
      <c r="O29" s="41">
        <f t="shared" si="14"/>
        <v>0</v>
      </c>
      <c r="P29" s="26">
        <f t="shared" si="14"/>
        <v>0</v>
      </c>
      <c r="Q29" s="26">
        <f>ROUNDUP(SUM(K29),1)</f>
        <v>0</v>
      </c>
      <c r="R29" s="26">
        <f>ROUNDUP(SUM(G29,L29),1)</f>
        <v>0</v>
      </c>
      <c r="S29" s="26">
        <f t="shared" si="15"/>
        <v>0</v>
      </c>
      <c r="T29" s="26">
        <f t="shared" si="15"/>
        <v>0</v>
      </c>
      <c r="U29" s="42">
        <f>SUM(O29:T29)</f>
        <v>0</v>
      </c>
    </row>
    <row r="30" spans="1:21" ht="19.95" hidden="1" customHeight="1" x14ac:dyDescent="0.3">
      <c r="A30" s="52"/>
      <c r="B30" s="24"/>
      <c r="C30" s="24">
        <v>64035</v>
      </c>
      <c r="D30" s="25" t="s">
        <v>63</v>
      </c>
      <c r="E30" s="43"/>
      <c r="F30" s="27"/>
      <c r="G30" s="27"/>
      <c r="H30" s="44"/>
      <c r="I30" s="49">
        <f>H30*Subsector!$S$11</f>
        <v>0</v>
      </c>
      <c r="J30" s="26">
        <f>H30*Subsector!$S$12</f>
        <v>0</v>
      </c>
      <c r="K30" s="26">
        <f>H30*Subsector!$S$13</f>
        <v>0</v>
      </c>
      <c r="L30" s="26">
        <f>H30*Subsector!$S$15</f>
        <v>0</v>
      </c>
      <c r="M30" s="26">
        <f>H30*Subsector!$S$16</f>
        <v>0</v>
      </c>
      <c r="N30" s="66">
        <f>H30*Subsector!$S$17</f>
        <v>0</v>
      </c>
      <c r="O30" s="41">
        <f t="shared" si="14"/>
        <v>0</v>
      </c>
      <c r="P30" s="26">
        <f t="shared" si="14"/>
        <v>0</v>
      </c>
      <c r="Q30" s="26">
        <f>ROUNDUP(SUM(K30),1)</f>
        <v>0</v>
      </c>
      <c r="R30" s="26">
        <f>ROUNDUP(SUM(G30,L30),1)</f>
        <v>0</v>
      </c>
      <c r="S30" s="26">
        <f t="shared" si="15"/>
        <v>0</v>
      </c>
      <c r="T30" s="26">
        <f t="shared" si="15"/>
        <v>0</v>
      </c>
      <c r="U30" s="42">
        <f>SUM(O30:T30)</f>
        <v>0</v>
      </c>
    </row>
    <row r="31" spans="1:21" ht="19.95" hidden="1" customHeight="1" x14ac:dyDescent="0.3">
      <c r="A31" s="52"/>
      <c r="B31" s="24"/>
      <c r="C31" s="24">
        <v>64037</v>
      </c>
      <c r="D31" s="25" t="s">
        <v>64</v>
      </c>
      <c r="E31" s="43"/>
      <c r="F31" s="27"/>
      <c r="G31" s="27"/>
      <c r="H31" s="44"/>
      <c r="I31" s="49">
        <f>H31*Subsector!$S$11</f>
        <v>0</v>
      </c>
      <c r="J31" s="26">
        <f>H31*Subsector!$S$12</f>
        <v>0</v>
      </c>
      <c r="K31" s="26">
        <f>H31*Subsector!$S$13</f>
        <v>0</v>
      </c>
      <c r="L31" s="26">
        <f>H31*Subsector!$S$15</f>
        <v>0</v>
      </c>
      <c r="M31" s="26">
        <f>H31*Subsector!$S$16</f>
        <v>0</v>
      </c>
      <c r="N31" s="66">
        <f>H31*Subsector!$S$17</f>
        <v>0</v>
      </c>
      <c r="O31" s="41">
        <f t="shared" si="14"/>
        <v>0</v>
      </c>
      <c r="P31" s="26">
        <f t="shared" si="14"/>
        <v>0</v>
      </c>
      <c r="Q31" s="26">
        <f>ROUNDUP(SUM(K31),1)</f>
        <v>0</v>
      </c>
      <c r="R31" s="26">
        <f>ROUNDUP(SUM(G31,L31),1)</f>
        <v>0</v>
      </c>
      <c r="S31" s="26">
        <f t="shared" si="15"/>
        <v>0</v>
      </c>
      <c r="T31" s="26">
        <f t="shared" si="15"/>
        <v>0</v>
      </c>
      <c r="U31" s="42">
        <f>SUM(O31:T31)</f>
        <v>0</v>
      </c>
    </row>
    <row r="32" spans="1:21" ht="19.95" hidden="1" customHeight="1" x14ac:dyDescent="0.3">
      <c r="A32" s="52"/>
      <c r="B32" s="24"/>
      <c r="C32" s="24">
        <v>64038</v>
      </c>
      <c r="D32" s="25" t="s">
        <v>60</v>
      </c>
      <c r="E32" s="43"/>
      <c r="F32" s="27"/>
      <c r="G32" s="27"/>
      <c r="H32" s="44"/>
      <c r="I32" s="49">
        <f>H32*Subsector!$S$11</f>
        <v>0</v>
      </c>
      <c r="J32" s="26">
        <f>H32*Subsector!$S$12</f>
        <v>0</v>
      </c>
      <c r="K32" s="26">
        <f>H32*Subsector!$S$13</f>
        <v>0</v>
      </c>
      <c r="L32" s="26">
        <f>H32*Subsector!$S$15</f>
        <v>0</v>
      </c>
      <c r="M32" s="26">
        <f>H32*Subsector!$S$16</f>
        <v>0</v>
      </c>
      <c r="N32" s="66">
        <f>H32*Subsector!$S$17</f>
        <v>0</v>
      </c>
      <c r="O32" s="41">
        <f t="shared" si="14"/>
        <v>0</v>
      </c>
      <c r="P32" s="26">
        <f t="shared" si="14"/>
        <v>0</v>
      </c>
      <c r="Q32" s="26">
        <f>ROUNDUP(SUM(K32),1)</f>
        <v>0</v>
      </c>
      <c r="R32" s="26">
        <f>ROUNDUP(SUM(G32,L32),1)</f>
        <v>0</v>
      </c>
      <c r="S32" s="26">
        <f t="shared" si="15"/>
        <v>0</v>
      </c>
      <c r="T32" s="26">
        <f t="shared" si="15"/>
        <v>0</v>
      </c>
      <c r="U32" s="42">
        <f>SUM(O32:T32)</f>
        <v>0</v>
      </c>
    </row>
    <row r="33" spans="1:21" ht="19.95" customHeight="1" x14ac:dyDescent="0.3">
      <c r="A33" s="51"/>
      <c r="B33" s="23">
        <v>6404</v>
      </c>
      <c r="C33" s="23"/>
      <c r="D33" s="21" t="s">
        <v>65</v>
      </c>
      <c r="E33" s="39">
        <f>SUM(E34:E36)</f>
        <v>0</v>
      </c>
      <c r="F33" s="22">
        <f t="shared" ref="F33:U33" si="16">SUM(F34:F36)</f>
        <v>71.699999999999989</v>
      </c>
      <c r="G33" s="22">
        <f t="shared" si="16"/>
        <v>77.899999999999991</v>
      </c>
      <c r="H33" s="40">
        <f t="shared" si="16"/>
        <v>0</v>
      </c>
      <c r="I33" s="36">
        <f t="shared" si="16"/>
        <v>0</v>
      </c>
      <c r="J33" s="22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65">
        <f t="shared" si="16"/>
        <v>0</v>
      </c>
      <c r="O33" s="39">
        <f t="shared" si="16"/>
        <v>0</v>
      </c>
      <c r="P33" s="22">
        <f t="shared" si="16"/>
        <v>71.7</v>
      </c>
      <c r="Q33" s="22">
        <f t="shared" si="16"/>
        <v>0</v>
      </c>
      <c r="R33" s="22">
        <f t="shared" si="16"/>
        <v>77.900000000000006</v>
      </c>
      <c r="S33" s="22">
        <f t="shared" si="16"/>
        <v>0</v>
      </c>
      <c r="T33" s="22">
        <f t="shared" si="16"/>
        <v>0</v>
      </c>
      <c r="U33" s="40">
        <f t="shared" si="16"/>
        <v>149.60000000000002</v>
      </c>
    </row>
    <row r="34" spans="1:21" ht="19.95" customHeight="1" x14ac:dyDescent="0.3">
      <c r="A34" s="52"/>
      <c r="B34" s="24"/>
      <c r="C34" s="24">
        <v>64041</v>
      </c>
      <c r="D34" s="25" t="s">
        <v>66</v>
      </c>
      <c r="E34" s="43"/>
      <c r="F34" s="27">
        <v>71.699999999999989</v>
      </c>
      <c r="G34" s="27">
        <v>77.899999999999991</v>
      </c>
      <c r="H34" s="44">
        <v>0</v>
      </c>
      <c r="I34" s="49">
        <f>H34*Subsector!$S$11</f>
        <v>0</v>
      </c>
      <c r="J34" s="26">
        <f>H34*Subsector!$S$12</f>
        <v>0</v>
      </c>
      <c r="K34" s="26">
        <f>H34*Subsector!$S$13</f>
        <v>0</v>
      </c>
      <c r="L34" s="26">
        <f>H34*Subsector!$S$15</f>
        <v>0</v>
      </c>
      <c r="M34" s="26">
        <f>H34*Subsector!$S$16</f>
        <v>0</v>
      </c>
      <c r="N34" s="66">
        <f>H34*Subsector!$S$17</f>
        <v>0</v>
      </c>
      <c r="O34" s="41">
        <f t="shared" ref="O34:P36" si="17">ROUNDUP(SUM(E34,I34),1)</f>
        <v>0</v>
      </c>
      <c r="P34" s="26">
        <f t="shared" si="17"/>
        <v>71.7</v>
      </c>
      <c r="Q34" s="26">
        <f>ROUNDUP(SUM(K34),1)</f>
        <v>0</v>
      </c>
      <c r="R34" s="26">
        <f>ROUNDUP(SUM(G34,L34),1)</f>
        <v>77.900000000000006</v>
      </c>
      <c r="S34" s="26">
        <f t="shared" ref="S34:T36" si="18">ROUNDUP(SUM(M34),1)</f>
        <v>0</v>
      </c>
      <c r="T34" s="26">
        <f t="shared" si="18"/>
        <v>0</v>
      </c>
      <c r="U34" s="42">
        <f>SUM(O34:T34)</f>
        <v>149.60000000000002</v>
      </c>
    </row>
    <row r="35" spans="1:21" ht="19.95" hidden="1" customHeight="1" x14ac:dyDescent="0.3">
      <c r="A35" s="52"/>
      <c r="B35" s="24"/>
      <c r="C35" s="24">
        <v>64042</v>
      </c>
      <c r="D35" s="25" t="s">
        <v>67</v>
      </c>
      <c r="E35" s="43"/>
      <c r="F35" s="27"/>
      <c r="G35" s="27"/>
      <c r="H35" s="44"/>
      <c r="I35" s="49">
        <f>H35*Subsector!$S$11</f>
        <v>0</v>
      </c>
      <c r="J35" s="26">
        <f>H35*Subsector!$S$12</f>
        <v>0</v>
      </c>
      <c r="K35" s="26">
        <f>H35*Subsector!$S$13</f>
        <v>0</v>
      </c>
      <c r="L35" s="26">
        <f>H35*Subsector!$S$15</f>
        <v>0</v>
      </c>
      <c r="M35" s="26">
        <f>H35*Subsector!$S$16</f>
        <v>0</v>
      </c>
      <c r="N35" s="66">
        <f>H35*Subsector!$S$17</f>
        <v>0</v>
      </c>
      <c r="O35" s="41">
        <f t="shared" si="17"/>
        <v>0</v>
      </c>
      <c r="P35" s="26">
        <f t="shared" si="17"/>
        <v>0</v>
      </c>
      <c r="Q35" s="26">
        <f>ROUNDUP(SUM(K35),1)</f>
        <v>0</v>
      </c>
      <c r="R35" s="26">
        <f>ROUNDUP(SUM(G35,L35),1)</f>
        <v>0</v>
      </c>
      <c r="S35" s="26">
        <f t="shared" si="18"/>
        <v>0</v>
      </c>
      <c r="T35" s="26">
        <f t="shared" si="18"/>
        <v>0</v>
      </c>
      <c r="U35" s="42">
        <f>SUM(O35:T35)</f>
        <v>0</v>
      </c>
    </row>
    <row r="36" spans="1:21" ht="19.95" hidden="1" customHeight="1" x14ac:dyDescent="0.3">
      <c r="A36" s="53"/>
      <c r="B36" s="23"/>
      <c r="C36" s="24">
        <v>64048</v>
      </c>
      <c r="D36" s="25" t="s">
        <v>68</v>
      </c>
      <c r="E36" s="43"/>
      <c r="F36" s="27"/>
      <c r="G36" s="27"/>
      <c r="H36" s="44"/>
      <c r="I36" s="49">
        <f>H36*Subsector!$S$11</f>
        <v>0</v>
      </c>
      <c r="J36" s="26">
        <f>H36*Subsector!$S$12</f>
        <v>0</v>
      </c>
      <c r="K36" s="26">
        <f>H36*Subsector!$S$13</f>
        <v>0</v>
      </c>
      <c r="L36" s="26">
        <f>H36*Subsector!$S$15</f>
        <v>0</v>
      </c>
      <c r="M36" s="26">
        <f>H36*Subsector!$S$16</f>
        <v>0</v>
      </c>
      <c r="N36" s="66">
        <f>H36*Subsector!$S$17</f>
        <v>0</v>
      </c>
      <c r="O36" s="41">
        <f t="shared" si="17"/>
        <v>0</v>
      </c>
      <c r="P36" s="26">
        <f t="shared" si="17"/>
        <v>0</v>
      </c>
      <c r="Q36" s="26">
        <f>ROUNDUP(SUM(K36),1)</f>
        <v>0</v>
      </c>
      <c r="R36" s="26">
        <f>ROUNDUP(SUM(G36,L36),1)</f>
        <v>0</v>
      </c>
      <c r="S36" s="26">
        <f t="shared" si="18"/>
        <v>0</v>
      </c>
      <c r="T36" s="26">
        <f t="shared" si="18"/>
        <v>0</v>
      </c>
      <c r="U36" s="42">
        <f>SUM(O36:T36)</f>
        <v>0</v>
      </c>
    </row>
    <row r="37" spans="1:21" ht="19.95" customHeight="1" x14ac:dyDescent="0.3">
      <c r="A37" s="54"/>
      <c r="B37" s="23">
        <v>6405</v>
      </c>
      <c r="C37" s="23"/>
      <c r="D37" s="21" t="s">
        <v>69</v>
      </c>
      <c r="E37" s="39">
        <f>SUM(E38:E44)</f>
        <v>0</v>
      </c>
      <c r="F37" s="22">
        <f t="shared" ref="F37:U37" si="19">SUM(F38:F44)</f>
        <v>19.100000000000001</v>
      </c>
      <c r="G37" s="22">
        <f t="shared" si="19"/>
        <v>0</v>
      </c>
      <c r="H37" s="40">
        <f t="shared" si="19"/>
        <v>0</v>
      </c>
      <c r="I37" s="36">
        <f t="shared" si="19"/>
        <v>0</v>
      </c>
      <c r="J37" s="22">
        <f t="shared" si="19"/>
        <v>0</v>
      </c>
      <c r="K37" s="22">
        <f t="shared" si="19"/>
        <v>0</v>
      </c>
      <c r="L37" s="22">
        <f t="shared" si="19"/>
        <v>0</v>
      </c>
      <c r="M37" s="22">
        <f t="shared" si="19"/>
        <v>0</v>
      </c>
      <c r="N37" s="65">
        <f t="shared" si="19"/>
        <v>0</v>
      </c>
      <c r="O37" s="39">
        <f t="shared" si="19"/>
        <v>0</v>
      </c>
      <c r="P37" s="22">
        <f t="shared" si="19"/>
        <v>19.100000000000001</v>
      </c>
      <c r="Q37" s="22">
        <f t="shared" si="19"/>
        <v>0</v>
      </c>
      <c r="R37" s="22">
        <f t="shared" si="19"/>
        <v>0</v>
      </c>
      <c r="S37" s="22">
        <f t="shared" si="19"/>
        <v>0</v>
      </c>
      <c r="T37" s="22">
        <f t="shared" si="19"/>
        <v>0</v>
      </c>
      <c r="U37" s="40">
        <f t="shared" si="19"/>
        <v>19.100000000000001</v>
      </c>
    </row>
    <row r="38" spans="1:21" ht="19.95" customHeight="1" x14ac:dyDescent="0.3">
      <c r="A38" s="55"/>
      <c r="B38" s="23"/>
      <c r="C38" s="24">
        <v>64051</v>
      </c>
      <c r="D38" s="25" t="s">
        <v>70</v>
      </c>
      <c r="E38" s="43"/>
      <c r="F38" s="27"/>
      <c r="G38" s="27"/>
      <c r="H38" s="44"/>
      <c r="I38" s="49">
        <f>H38*Subsector!$S$11</f>
        <v>0</v>
      </c>
      <c r="J38" s="26">
        <f>H38*Subsector!$S$12</f>
        <v>0</v>
      </c>
      <c r="K38" s="26">
        <f>H38*Subsector!$S$13</f>
        <v>0</v>
      </c>
      <c r="L38" s="26">
        <f>H38*Subsector!$S$15</f>
        <v>0</v>
      </c>
      <c r="M38" s="26">
        <f>H38*Subsector!$S$16</f>
        <v>0</v>
      </c>
      <c r="N38" s="66">
        <f>H38*Subsector!$S$17</f>
        <v>0</v>
      </c>
      <c r="O38" s="41">
        <f t="shared" ref="O38:P44" si="20">ROUNDUP(SUM(E38,I38),1)</f>
        <v>0</v>
      </c>
      <c r="P38" s="26">
        <f t="shared" si="20"/>
        <v>0</v>
      </c>
      <c r="Q38" s="26">
        <f t="shared" ref="Q38:Q44" si="21">ROUNDUP(SUM(K38),1)</f>
        <v>0</v>
      </c>
      <c r="R38" s="26">
        <f t="shared" ref="R38:R44" si="22">ROUNDUP(SUM(G38,L38),1)</f>
        <v>0</v>
      </c>
      <c r="S38" s="26">
        <f t="shared" ref="S38:T44" si="23">ROUNDUP(SUM(M38),1)</f>
        <v>0</v>
      </c>
      <c r="T38" s="26">
        <f t="shared" si="23"/>
        <v>0</v>
      </c>
      <c r="U38" s="42">
        <f t="shared" ref="U38:U44" si="24">SUM(O38:T38)</f>
        <v>0</v>
      </c>
    </row>
    <row r="39" spans="1:21" ht="19.95" customHeight="1" x14ac:dyDescent="0.3">
      <c r="A39" s="55"/>
      <c r="B39" s="24"/>
      <c r="C39" s="24">
        <v>64052</v>
      </c>
      <c r="D39" s="25" t="s">
        <v>71</v>
      </c>
      <c r="E39" s="43"/>
      <c r="F39" s="27">
        <v>12</v>
      </c>
      <c r="G39" s="27">
        <v>0</v>
      </c>
      <c r="H39" s="44">
        <v>0</v>
      </c>
      <c r="I39" s="49">
        <f>H39*Subsector!$S$11</f>
        <v>0</v>
      </c>
      <c r="J39" s="26">
        <f>H39*Subsector!$S$12</f>
        <v>0</v>
      </c>
      <c r="K39" s="26">
        <f>H39*Subsector!$S$13</f>
        <v>0</v>
      </c>
      <c r="L39" s="26">
        <f>H39*Subsector!$S$15</f>
        <v>0</v>
      </c>
      <c r="M39" s="26">
        <f>H39*Subsector!$S$16</f>
        <v>0</v>
      </c>
      <c r="N39" s="66">
        <f>H39*Subsector!$S$17</f>
        <v>0</v>
      </c>
      <c r="O39" s="41">
        <f t="shared" si="20"/>
        <v>0</v>
      </c>
      <c r="P39" s="26">
        <f t="shared" si="20"/>
        <v>12</v>
      </c>
      <c r="Q39" s="26">
        <f t="shared" si="21"/>
        <v>0</v>
      </c>
      <c r="R39" s="26">
        <f t="shared" si="22"/>
        <v>0</v>
      </c>
      <c r="S39" s="26">
        <f t="shared" si="23"/>
        <v>0</v>
      </c>
      <c r="T39" s="26">
        <f t="shared" si="23"/>
        <v>0</v>
      </c>
      <c r="U39" s="42">
        <f t="shared" si="24"/>
        <v>12</v>
      </c>
    </row>
    <row r="40" spans="1:21" ht="19.95" customHeight="1" x14ac:dyDescent="0.3">
      <c r="A40" s="55"/>
      <c r="B40" s="24"/>
      <c r="C40" s="24">
        <v>64053</v>
      </c>
      <c r="D40" s="25" t="s">
        <v>72</v>
      </c>
      <c r="E40" s="43"/>
      <c r="F40" s="27">
        <v>7.1</v>
      </c>
      <c r="G40" s="27">
        <v>0</v>
      </c>
      <c r="H40" s="44">
        <v>0</v>
      </c>
      <c r="I40" s="49">
        <f>H40*Subsector!$S$11</f>
        <v>0</v>
      </c>
      <c r="J40" s="26">
        <f>H40*Subsector!$S$12</f>
        <v>0</v>
      </c>
      <c r="K40" s="26">
        <f>H40*Subsector!$S$13</f>
        <v>0</v>
      </c>
      <c r="L40" s="26">
        <f>H40*Subsector!$S$15</f>
        <v>0</v>
      </c>
      <c r="M40" s="26">
        <f>H40*Subsector!$S$16</f>
        <v>0</v>
      </c>
      <c r="N40" s="66">
        <f>H40*Subsector!$S$17</f>
        <v>0</v>
      </c>
      <c r="O40" s="41">
        <f t="shared" si="20"/>
        <v>0</v>
      </c>
      <c r="P40" s="26">
        <f t="shared" si="20"/>
        <v>7.1</v>
      </c>
      <c r="Q40" s="26">
        <f t="shared" si="21"/>
        <v>0</v>
      </c>
      <c r="R40" s="26">
        <f t="shared" si="22"/>
        <v>0</v>
      </c>
      <c r="S40" s="26">
        <f t="shared" si="23"/>
        <v>0</v>
      </c>
      <c r="T40" s="26">
        <f t="shared" si="23"/>
        <v>0</v>
      </c>
      <c r="U40" s="42">
        <f t="shared" si="24"/>
        <v>7.1</v>
      </c>
    </row>
    <row r="41" spans="1:21" ht="19.95" customHeight="1" x14ac:dyDescent="0.3">
      <c r="A41" s="55"/>
      <c r="B41" s="24"/>
      <c r="C41" s="24">
        <v>64054</v>
      </c>
      <c r="D41" s="25" t="s">
        <v>73</v>
      </c>
      <c r="E41" s="43"/>
      <c r="F41" s="27">
        <v>0</v>
      </c>
      <c r="G41" s="27">
        <v>0</v>
      </c>
      <c r="H41" s="44">
        <v>0</v>
      </c>
      <c r="I41" s="49">
        <f>H41*Subsector!$S$11</f>
        <v>0</v>
      </c>
      <c r="J41" s="26">
        <f>H41*Subsector!$S$12</f>
        <v>0</v>
      </c>
      <c r="K41" s="26">
        <f>H41*Subsector!$S$13</f>
        <v>0</v>
      </c>
      <c r="L41" s="26">
        <f>H41*Subsector!$S$15</f>
        <v>0</v>
      </c>
      <c r="M41" s="26">
        <f>H41*Subsector!$S$16</f>
        <v>0</v>
      </c>
      <c r="N41" s="66">
        <f>H41*Subsector!$S$17</f>
        <v>0</v>
      </c>
      <c r="O41" s="41">
        <f t="shared" si="20"/>
        <v>0</v>
      </c>
      <c r="P41" s="26">
        <f t="shared" si="20"/>
        <v>0</v>
      </c>
      <c r="Q41" s="26">
        <f t="shared" si="21"/>
        <v>0</v>
      </c>
      <c r="R41" s="26">
        <f t="shared" si="22"/>
        <v>0</v>
      </c>
      <c r="S41" s="26">
        <f t="shared" si="23"/>
        <v>0</v>
      </c>
      <c r="T41" s="26">
        <f t="shared" si="23"/>
        <v>0</v>
      </c>
      <c r="U41" s="42">
        <f t="shared" si="24"/>
        <v>0</v>
      </c>
    </row>
    <row r="42" spans="1:21" ht="19.95" hidden="1" customHeight="1" x14ac:dyDescent="0.3">
      <c r="A42" s="55"/>
      <c r="B42" s="24"/>
      <c r="C42" s="24">
        <v>64055</v>
      </c>
      <c r="D42" s="25" t="s">
        <v>74</v>
      </c>
      <c r="E42" s="43"/>
      <c r="F42" s="27"/>
      <c r="G42" s="27"/>
      <c r="H42" s="44"/>
      <c r="I42" s="49">
        <f>H42*Subsector!$S$11</f>
        <v>0</v>
      </c>
      <c r="J42" s="26">
        <f>H42*Subsector!$S$12</f>
        <v>0</v>
      </c>
      <c r="K42" s="26">
        <f>H42*Subsector!$S$13</f>
        <v>0</v>
      </c>
      <c r="L42" s="26">
        <f>H42*Subsector!$S$15</f>
        <v>0</v>
      </c>
      <c r="M42" s="26">
        <f>H42*Subsector!$S$16</f>
        <v>0</v>
      </c>
      <c r="N42" s="66">
        <f>H42*Subsector!$S$17</f>
        <v>0</v>
      </c>
      <c r="O42" s="41">
        <f t="shared" si="20"/>
        <v>0</v>
      </c>
      <c r="P42" s="26">
        <f t="shared" si="20"/>
        <v>0</v>
      </c>
      <c r="Q42" s="26">
        <f t="shared" si="21"/>
        <v>0</v>
      </c>
      <c r="R42" s="26">
        <f t="shared" si="22"/>
        <v>0</v>
      </c>
      <c r="S42" s="26">
        <f t="shared" si="23"/>
        <v>0</v>
      </c>
      <c r="T42" s="26">
        <f t="shared" si="23"/>
        <v>0</v>
      </c>
      <c r="U42" s="42">
        <f t="shared" si="24"/>
        <v>0</v>
      </c>
    </row>
    <row r="43" spans="1:21" ht="19.95" hidden="1" customHeight="1" x14ac:dyDescent="0.3">
      <c r="A43" s="55"/>
      <c r="B43" s="24"/>
      <c r="C43" s="24">
        <v>64056</v>
      </c>
      <c r="D43" s="25" t="s">
        <v>75</v>
      </c>
      <c r="E43" s="43"/>
      <c r="F43" s="27"/>
      <c r="G43" s="27"/>
      <c r="H43" s="44"/>
      <c r="I43" s="49">
        <f>H43*Subsector!$S$11</f>
        <v>0</v>
      </c>
      <c r="J43" s="26">
        <f>H43*Subsector!$S$12</f>
        <v>0</v>
      </c>
      <c r="K43" s="26">
        <f>H43*Subsector!$S$13</f>
        <v>0</v>
      </c>
      <c r="L43" s="26">
        <f>H43*Subsector!$S$15</f>
        <v>0</v>
      </c>
      <c r="M43" s="26">
        <f>H43*Subsector!$S$16</f>
        <v>0</v>
      </c>
      <c r="N43" s="66">
        <f>H43*Subsector!$S$17</f>
        <v>0</v>
      </c>
      <c r="O43" s="41">
        <f t="shared" si="20"/>
        <v>0</v>
      </c>
      <c r="P43" s="26">
        <f t="shared" si="20"/>
        <v>0</v>
      </c>
      <c r="Q43" s="26">
        <f t="shared" si="21"/>
        <v>0</v>
      </c>
      <c r="R43" s="26">
        <f t="shared" si="22"/>
        <v>0</v>
      </c>
      <c r="S43" s="26">
        <f t="shared" si="23"/>
        <v>0</v>
      </c>
      <c r="T43" s="26">
        <f t="shared" si="23"/>
        <v>0</v>
      </c>
      <c r="U43" s="42">
        <f t="shared" si="24"/>
        <v>0</v>
      </c>
    </row>
    <row r="44" spans="1:21" ht="19.95" hidden="1" customHeight="1" x14ac:dyDescent="0.3">
      <c r="A44" s="55"/>
      <c r="B44" s="24"/>
      <c r="C44" s="24">
        <v>64058</v>
      </c>
      <c r="D44" s="25" t="s">
        <v>76</v>
      </c>
      <c r="E44" s="43"/>
      <c r="F44" s="27"/>
      <c r="G44" s="27"/>
      <c r="H44" s="44"/>
      <c r="I44" s="49">
        <f>H44*Subsector!$S$11</f>
        <v>0</v>
      </c>
      <c r="J44" s="26">
        <f>H44*Subsector!$S$12</f>
        <v>0</v>
      </c>
      <c r="K44" s="26">
        <f>H44*Subsector!$S$13</f>
        <v>0</v>
      </c>
      <c r="L44" s="26">
        <f>H44*Subsector!$S$15</f>
        <v>0</v>
      </c>
      <c r="M44" s="26">
        <f>H44*Subsector!$S$16</f>
        <v>0</v>
      </c>
      <c r="N44" s="66">
        <f>H44*Subsector!$S$17</f>
        <v>0</v>
      </c>
      <c r="O44" s="41">
        <f t="shared" si="20"/>
        <v>0</v>
      </c>
      <c r="P44" s="26">
        <f t="shared" si="20"/>
        <v>0</v>
      </c>
      <c r="Q44" s="26">
        <f t="shared" si="21"/>
        <v>0</v>
      </c>
      <c r="R44" s="26">
        <f t="shared" si="22"/>
        <v>0</v>
      </c>
      <c r="S44" s="26">
        <f t="shared" si="23"/>
        <v>0</v>
      </c>
      <c r="T44" s="26">
        <f t="shared" si="23"/>
        <v>0</v>
      </c>
      <c r="U44" s="42">
        <f t="shared" si="24"/>
        <v>0</v>
      </c>
    </row>
    <row r="45" spans="1:21" ht="19.95" customHeight="1" x14ac:dyDescent="0.3">
      <c r="A45" s="54"/>
      <c r="B45" s="28">
        <v>6406</v>
      </c>
      <c r="C45" s="23"/>
      <c r="D45" s="21" t="s">
        <v>77</v>
      </c>
      <c r="E45" s="39">
        <f>SUM(E46:E49)</f>
        <v>0</v>
      </c>
      <c r="F45" s="22">
        <f t="shared" ref="F45:U45" si="25">SUM(F46:F49)</f>
        <v>12.5</v>
      </c>
      <c r="G45" s="22">
        <f t="shared" si="25"/>
        <v>0</v>
      </c>
      <c r="H45" s="40">
        <f t="shared" si="25"/>
        <v>1.7999999999999998</v>
      </c>
      <c r="I45" s="36">
        <f t="shared" si="25"/>
        <v>6.3812994428280034E-3</v>
      </c>
      <c r="J45" s="22">
        <f t="shared" si="25"/>
        <v>1.0834330547039226</v>
      </c>
      <c r="K45" s="22">
        <f t="shared" si="25"/>
        <v>0.67901527208695944</v>
      </c>
      <c r="L45" s="22">
        <f t="shared" si="25"/>
        <v>2.2599458717436433E-2</v>
      </c>
      <c r="M45" s="22">
        <f t="shared" si="25"/>
        <v>0</v>
      </c>
      <c r="N45" s="65">
        <f t="shared" si="25"/>
        <v>8.5709150488534839E-3</v>
      </c>
      <c r="O45" s="39">
        <f t="shared" si="25"/>
        <v>0.2</v>
      </c>
      <c r="P45" s="22">
        <f t="shared" si="25"/>
        <v>13.7</v>
      </c>
      <c r="Q45" s="22">
        <f t="shared" si="25"/>
        <v>0.8</v>
      </c>
      <c r="R45" s="22">
        <f t="shared" si="25"/>
        <v>0.2</v>
      </c>
      <c r="S45" s="22">
        <f t="shared" si="25"/>
        <v>0</v>
      </c>
      <c r="T45" s="22">
        <f t="shared" si="25"/>
        <v>0.2</v>
      </c>
      <c r="U45" s="40">
        <f t="shared" si="25"/>
        <v>15.099999999999998</v>
      </c>
    </row>
    <row r="46" spans="1:21" ht="19.95" customHeight="1" x14ac:dyDescent="0.3">
      <c r="A46" s="55"/>
      <c r="B46" s="28"/>
      <c r="C46" s="24">
        <v>64061</v>
      </c>
      <c r="D46" s="25" t="s">
        <v>78</v>
      </c>
      <c r="E46" s="43"/>
      <c r="F46" s="27">
        <v>9.4</v>
      </c>
      <c r="G46" s="27">
        <v>0</v>
      </c>
      <c r="H46" s="44">
        <v>1.2</v>
      </c>
      <c r="I46" s="49">
        <f>H46*Subsector!$S$11</f>
        <v>4.2541996285520023E-3</v>
      </c>
      <c r="J46" s="26">
        <f>H46*Subsector!$S$12</f>
        <v>0.7222887031359484</v>
      </c>
      <c r="K46" s="26">
        <f>H46*Subsector!$S$13</f>
        <v>0.45267684805797298</v>
      </c>
      <c r="L46" s="26">
        <f>H46*Subsector!$S$15</f>
        <v>1.5066305811624287E-2</v>
      </c>
      <c r="M46" s="26">
        <f>H46*Subsector!$S$16</f>
        <v>0</v>
      </c>
      <c r="N46" s="66">
        <f>H46*Subsector!$S$17</f>
        <v>5.7139433659023223E-3</v>
      </c>
      <c r="O46" s="41">
        <f t="shared" ref="O46:P49" si="26">ROUNDUP(SUM(E46,I46),1)</f>
        <v>0.1</v>
      </c>
      <c r="P46" s="26">
        <f t="shared" si="26"/>
        <v>10.199999999999999</v>
      </c>
      <c r="Q46" s="26">
        <f>ROUNDUP(SUM(K46),1)</f>
        <v>0.5</v>
      </c>
      <c r="R46" s="26">
        <f>ROUNDUP(SUM(G46,L46),1)</f>
        <v>0.1</v>
      </c>
      <c r="S46" s="26">
        <f t="shared" ref="S46:T49" si="27">ROUNDUP(SUM(M46),1)</f>
        <v>0</v>
      </c>
      <c r="T46" s="26">
        <f t="shared" si="27"/>
        <v>0.1</v>
      </c>
      <c r="U46" s="42">
        <f>SUM(O46:T46)</f>
        <v>10.999999999999998</v>
      </c>
    </row>
    <row r="47" spans="1:21" ht="19.95" customHeight="1" x14ac:dyDescent="0.3">
      <c r="A47" s="55"/>
      <c r="B47" s="28"/>
      <c r="C47" s="24">
        <v>64063</v>
      </c>
      <c r="D47" s="25" t="s">
        <v>79</v>
      </c>
      <c r="E47" s="43"/>
      <c r="F47" s="27">
        <v>3.1</v>
      </c>
      <c r="G47" s="27">
        <v>0</v>
      </c>
      <c r="H47" s="44">
        <v>0.6</v>
      </c>
      <c r="I47" s="49">
        <f>H47*Subsector!$S$11</f>
        <v>2.1270998142760011E-3</v>
      </c>
      <c r="J47" s="26">
        <f>H47*Subsector!$S$12</f>
        <v>0.3611443515679742</v>
      </c>
      <c r="K47" s="26">
        <f>H47*Subsector!$S$13</f>
        <v>0.22633842402898649</v>
      </c>
      <c r="L47" s="26">
        <f>H47*Subsector!$S$15</f>
        <v>7.5331529058121436E-3</v>
      </c>
      <c r="M47" s="26">
        <f>H47*Subsector!$S$16</f>
        <v>0</v>
      </c>
      <c r="N47" s="66">
        <f>H47*Subsector!$S$17</f>
        <v>2.8569716829511612E-3</v>
      </c>
      <c r="O47" s="41">
        <f t="shared" si="26"/>
        <v>0.1</v>
      </c>
      <c r="P47" s="26">
        <f t="shared" si="26"/>
        <v>3.5</v>
      </c>
      <c r="Q47" s="26">
        <f>ROUNDUP(SUM(K47),1)</f>
        <v>0.30000000000000004</v>
      </c>
      <c r="R47" s="26">
        <f>ROUNDUP(SUM(G47,L47),1)</f>
        <v>0.1</v>
      </c>
      <c r="S47" s="26">
        <f t="shared" si="27"/>
        <v>0</v>
      </c>
      <c r="T47" s="26">
        <f t="shared" si="27"/>
        <v>0.1</v>
      </c>
      <c r="U47" s="42">
        <f>SUM(O47:T47)</f>
        <v>4.0999999999999996</v>
      </c>
    </row>
    <row r="48" spans="1:21" ht="19.95" hidden="1" customHeight="1" x14ac:dyDescent="0.3">
      <c r="A48" s="55"/>
      <c r="B48" s="24"/>
      <c r="C48" s="24">
        <v>64064</v>
      </c>
      <c r="D48" s="25" t="s">
        <v>80</v>
      </c>
      <c r="E48" s="43"/>
      <c r="F48" s="27"/>
      <c r="G48" s="27"/>
      <c r="H48" s="44"/>
      <c r="I48" s="49">
        <f>H48*Subsector!$S$11</f>
        <v>0</v>
      </c>
      <c r="J48" s="26">
        <f>H48*Subsector!$S$12</f>
        <v>0</v>
      </c>
      <c r="K48" s="26">
        <f>H48*Subsector!$S$13</f>
        <v>0</v>
      </c>
      <c r="L48" s="26">
        <f>H48*Subsector!$S$15</f>
        <v>0</v>
      </c>
      <c r="M48" s="26">
        <f>H48*Subsector!$S$16</f>
        <v>0</v>
      </c>
      <c r="N48" s="66">
        <f>H48*Subsector!$S$17</f>
        <v>0</v>
      </c>
      <c r="O48" s="41">
        <f t="shared" si="26"/>
        <v>0</v>
      </c>
      <c r="P48" s="26">
        <f t="shared" si="26"/>
        <v>0</v>
      </c>
      <c r="Q48" s="26">
        <f>ROUNDUP(SUM(K48),1)</f>
        <v>0</v>
      </c>
      <c r="R48" s="26">
        <f>ROUNDUP(SUM(G48,L48),1)</f>
        <v>0</v>
      </c>
      <c r="S48" s="26">
        <f t="shared" si="27"/>
        <v>0</v>
      </c>
      <c r="T48" s="26">
        <f t="shared" si="27"/>
        <v>0</v>
      </c>
      <c r="U48" s="42">
        <f>SUM(O48:T48)</f>
        <v>0</v>
      </c>
    </row>
    <row r="49" spans="1:21" ht="19.95" hidden="1" customHeight="1" x14ac:dyDescent="0.3">
      <c r="A49" s="55"/>
      <c r="B49" s="24"/>
      <c r="C49" s="24">
        <v>64068</v>
      </c>
      <c r="D49" s="25" t="s">
        <v>81</v>
      </c>
      <c r="E49" s="43"/>
      <c r="F49" s="27"/>
      <c r="G49" s="27"/>
      <c r="H49" s="44"/>
      <c r="I49" s="49">
        <f>H49*Subsector!$S$11</f>
        <v>0</v>
      </c>
      <c r="J49" s="26">
        <f>H49*Subsector!$S$12</f>
        <v>0</v>
      </c>
      <c r="K49" s="26">
        <f>H49*Subsector!$S$13</f>
        <v>0</v>
      </c>
      <c r="L49" s="26">
        <f>H49*Subsector!$S$15</f>
        <v>0</v>
      </c>
      <c r="M49" s="26">
        <f>H49*Subsector!$S$16</f>
        <v>0</v>
      </c>
      <c r="N49" s="66">
        <f>H49*Subsector!$S$17</f>
        <v>0</v>
      </c>
      <c r="O49" s="41">
        <f t="shared" si="26"/>
        <v>0</v>
      </c>
      <c r="P49" s="26">
        <f t="shared" si="26"/>
        <v>0</v>
      </c>
      <c r="Q49" s="26">
        <f>ROUNDUP(SUM(K49),1)</f>
        <v>0</v>
      </c>
      <c r="R49" s="26">
        <f>ROUNDUP(SUM(G49,L49),1)</f>
        <v>0</v>
      </c>
      <c r="S49" s="26">
        <f t="shared" si="27"/>
        <v>0</v>
      </c>
      <c r="T49" s="26">
        <f t="shared" si="27"/>
        <v>0</v>
      </c>
      <c r="U49" s="42">
        <f>SUM(O49:T49)</f>
        <v>0</v>
      </c>
    </row>
    <row r="50" spans="1:21" ht="19.95" hidden="1" customHeight="1" x14ac:dyDescent="0.3">
      <c r="A50" s="51"/>
      <c r="B50" s="28">
        <v>6407</v>
      </c>
      <c r="C50" s="28"/>
      <c r="D50" s="29" t="s">
        <v>82</v>
      </c>
      <c r="E50" s="39">
        <f>SUM(E51:E58)</f>
        <v>0</v>
      </c>
      <c r="F50" s="22">
        <f t="shared" ref="F50:U50" si="28">SUM(F51:F58)</f>
        <v>0</v>
      </c>
      <c r="G50" s="22">
        <f t="shared" si="28"/>
        <v>0</v>
      </c>
      <c r="H50" s="40">
        <f t="shared" si="28"/>
        <v>0</v>
      </c>
      <c r="I50" s="36">
        <f t="shared" si="28"/>
        <v>0</v>
      </c>
      <c r="J50" s="22">
        <f t="shared" si="28"/>
        <v>0</v>
      </c>
      <c r="K50" s="22">
        <f t="shared" si="28"/>
        <v>0</v>
      </c>
      <c r="L50" s="22">
        <f t="shared" si="28"/>
        <v>0</v>
      </c>
      <c r="M50" s="22">
        <f t="shared" si="28"/>
        <v>0</v>
      </c>
      <c r="N50" s="65">
        <f t="shared" si="28"/>
        <v>0</v>
      </c>
      <c r="O50" s="39">
        <f t="shared" si="28"/>
        <v>0</v>
      </c>
      <c r="P50" s="22">
        <f t="shared" si="28"/>
        <v>0</v>
      </c>
      <c r="Q50" s="22">
        <f t="shared" si="28"/>
        <v>0</v>
      </c>
      <c r="R50" s="22">
        <f t="shared" si="28"/>
        <v>0</v>
      </c>
      <c r="S50" s="22">
        <f t="shared" si="28"/>
        <v>0</v>
      </c>
      <c r="T50" s="22">
        <f t="shared" si="28"/>
        <v>0</v>
      </c>
      <c r="U50" s="40">
        <f t="shared" si="28"/>
        <v>0</v>
      </c>
    </row>
    <row r="51" spans="1:21" ht="19.95" hidden="1" customHeight="1" x14ac:dyDescent="0.3">
      <c r="A51" s="52"/>
      <c r="B51" s="28"/>
      <c r="C51" s="30">
        <v>64071</v>
      </c>
      <c r="D51" s="31" t="s">
        <v>83</v>
      </c>
      <c r="E51" s="43"/>
      <c r="F51" s="27"/>
      <c r="G51" s="27"/>
      <c r="H51" s="44"/>
      <c r="I51" s="49">
        <f>H51*Subsector!$S$11</f>
        <v>0</v>
      </c>
      <c r="J51" s="26">
        <f>H51*Subsector!$S$12</f>
        <v>0</v>
      </c>
      <c r="K51" s="26">
        <f>H51*Subsector!$S$13</f>
        <v>0</v>
      </c>
      <c r="L51" s="26">
        <f>H51*Subsector!$S$15</f>
        <v>0</v>
      </c>
      <c r="M51" s="26">
        <f>H51*Subsector!$S$16</f>
        <v>0</v>
      </c>
      <c r="N51" s="66">
        <f>H51*Subsector!$S$17</f>
        <v>0</v>
      </c>
      <c r="O51" s="41">
        <f t="shared" ref="O51:P58" si="29">ROUNDUP(SUM(E51,I51),1)</f>
        <v>0</v>
      </c>
      <c r="P51" s="26">
        <f t="shared" si="29"/>
        <v>0</v>
      </c>
      <c r="Q51" s="26">
        <f t="shared" ref="Q51:Q58" si="30">ROUNDUP(SUM(K51),1)</f>
        <v>0</v>
      </c>
      <c r="R51" s="26">
        <f t="shared" ref="R51:R58" si="31">ROUNDUP(SUM(G51,L51),1)</f>
        <v>0</v>
      </c>
      <c r="S51" s="26">
        <f t="shared" ref="S51:T58" si="32">ROUNDUP(SUM(M51),1)</f>
        <v>0</v>
      </c>
      <c r="T51" s="26">
        <f t="shared" si="32"/>
        <v>0</v>
      </c>
      <c r="U51" s="42">
        <f t="shared" ref="U51:U58" si="33">SUM(O51:T51)</f>
        <v>0</v>
      </c>
    </row>
    <row r="52" spans="1:21" ht="19.95" hidden="1" customHeight="1" x14ac:dyDescent="0.3">
      <c r="A52" s="52"/>
      <c r="B52" s="28"/>
      <c r="C52" s="30">
        <v>64072</v>
      </c>
      <c r="D52" s="31" t="s">
        <v>84</v>
      </c>
      <c r="E52" s="43"/>
      <c r="F52" s="27"/>
      <c r="G52" s="27"/>
      <c r="H52" s="44"/>
      <c r="I52" s="49">
        <f>H52*Subsector!$S$11</f>
        <v>0</v>
      </c>
      <c r="J52" s="26">
        <f>H52*Subsector!$S$12</f>
        <v>0</v>
      </c>
      <c r="K52" s="26">
        <f>H52*Subsector!$S$13</f>
        <v>0</v>
      </c>
      <c r="L52" s="26">
        <f>H52*Subsector!$S$15</f>
        <v>0</v>
      </c>
      <c r="M52" s="26">
        <f>H52*Subsector!$S$16</f>
        <v>0</v>
      </c>
      <c r="N52" s="66">
        <f>H52*Subsector!$S$17</f>
        <v>0</v>
      </c>
      <c r="O52" s="41">
        <f t="shared" si="29"/>
        <v>0</v>
      </c>
      <c r="P52" s="26">
        <f t="shared" si="29"/>
        <v>0</v>
      </c>
      <c r="Q52" s="26">
        <f t="shared" si="30"/>
        <v>0</v>
      </c>
      <c r="R52" s="26">
        <f t="shared" si="31"/>
        <v>0</v>
      </c>
      <c r="S52" s="26">
        <f t="shared" si="32"/>
        <v>0</v>
      </c>
      <c r="T52" s="26">
        <f t="shared" si="32"/>
        <v>0</v>
      </c>
      <c r="U52" s="42">
        <f t="shared" si="33"/>
        <v>0</v>
      </c>
    </row>
    <row r="53" spans="1:21" ht="19.95" hidden="1" customHeight="1" x14ac:dyDescent="0.3">
      <c r="A53" s="52"/>
      <c r="B53" s="28"/>
      <c r="C53" s="30">
        <v>64073</v>
      </c>
      <c r="D53" s="31" t="s">
        <v>85</v>
      </c>
      <c r="E53" s="43"/>
      <c r="F53" s="27"/>
      <c r="G53" s="27"/>
      <c r="H53" s="44"/>
      <c r="I53" s="49">
        <f>H53*Subsector!$S$11</f>
        <v>0</v>
      </c>
      <c r="J53" s="26">
        <f>H53*Subsector!$S$12</f>
        <v>0</v>
      </c>
      <c r="K53" s="26">
        <f>H53*Subsector!$S$13</f>
        <v>0</v>
      </c>
      <c r="L53" s="26">
        <f>H53*Subsector!$S$15</f>
        <v>0</v>
      </c>
      <c r="M53" s="26">
        <f>H53*Subsector!$S$16</f>
        <v>0</v>
      </c>
      <c r="N53" s="66">
        <f>H53*Subsector!$S$17</f>
        <v>0</v>
      </c>
      <c r="O53" s="41">
        <f t="shared" si="29"/>
        <v>0</v>
      </c>
      <c r="P53" s="26">
        <f t="shared" si="29"/>
        <v>0</v>
      </c>
      <c r="Q53" s="26">
        <f t="shared" si="30"/>
        <v>0</v>
      </c>
      <c r="R53" s="26">
        <f t="shared" si="31"/>
        <v>0</v>
      </c>
      <c r="S53" s="26">
        <f t="shared" si="32"/>
        <v>0</v>
      </c>
      <c r="T53" s="26">
        <f t="shared" si="32"/>
        <v>0</v>
      </c>
      <c r="U53" s="42">
        <f t="shared" si="33"/>
        <v>0</v>
      </c>
    </row>
    <row r="54" spans="1:21" ht="19.95" hidden="1" customHeight="1" x14ac:dyDescent="0.3">
      <c r="A54" s="52"/>
      <c r="B54" s="24"/>
      <c r="C54" s="30">
        <v>64074</v>
      </c>
      <c r="D54" s="25" t="s">
        <v>86</v>
      </c>
      <c r="E54" s="43"/>
      <c r="F54" s="27"/>
      <c r="G54" s="27"/>
      <c r="H54" s="44"/>
      <c r="I54" s="49">
        <f>H54*Subsector!$S$11</f>
        <v>0</v>
      </c>
      <c r="J54" s="26">
        <f>H54*Subsector!$S$12</f>
        <v>0</v>
      </c>
      <c r="K54" s="26">
        <f>H54*Subsector!$S$13</f>
        <v>0</v>
      </c>
      <c r="L54" s="26">
        <f>H54*Subsector!$S$15</f>
        <v>0</v>
      </c>
      <c r="M54" s="26">
        <f>H54*Subsector!$S$16</f>
        <v>0</v>
      </c>
      <c r="N54" s="66">
        <f>H54*Subsector!$S$17</f>
        <v>0</v>
      </c>
      <c r="O54" s="41">
        <f t="shared" si="29"/>
        <v>0</v>
      </c>
      <c r="P54" s="26">
        <f t="shared" si="29"/>
        <v>0</v>
      </c>
      <c r="Q54" s="26">
        <f t="shared" si="30"/>
        <v>0</v>
      </c>
      <c r="R54" s="26">
        <f t="shared" si="31"/>
        <v>0</v>
      </c>
      <c r="S54" s="26">
        <f t="shared" si="32"/>
        <v>0</v>
      </c>
      <c r="T54" s="26">
        <f t="shared" si="32"/>
        <v>0</v>
      </c>
      <c r="U54" s="42">
        <f t="shared" si="33"/>
        <v>0</v>
      </c>
    </row>
    <row r="55" spans="1:21" ht="19.95" hidden="1" customHeight="1" x14ac:dyDescent="0.3">
      <c r="A55" s="52"/>
      <c r="B55" s="28"/>
      <c r="C55" s="30">
        <v>64075</v>
      </c>
      <c r="D55" s="31" t="s">
        <v>48</v>
      </c>
      <c r="E55" s="43"/>
      <c r="F55" s="27"/>
      <c r="G55" s="27"/>
      <c r="H55" s="44"/>
      <c r="I55" s="49">
        <f>H55*Subsector!$S$11</f>
        <v>0</v>
      </c>
      <c r="J55" s="26">
        <f>H55*Subsector!$S$12</f>
        <v>0</v>
      </c>
      <c r="K55" s="26">
        <f>H55*Subsector!$S$13</f>
        <v>0</v>
      </c>
      <c r="L55" s="26">
        <f>H55*Subsector!$S$15</f>
        <v>0</v>
      </c>
      <c r="M55" s="26">
        <f>H55*Subsector!$S$16</f>
        <v>0</v>
      </c>
      <c r="N55" s="66">
        <f>H55*Subsector!$S$17</f>
        <v>0</v>
      </c>
      <c r="O55" s="41">
        <f t="shared" si="29"/>
        <v>0</v>
      </c>
      <c r="P55" s="26">
        <f t="shared" si="29"/>
        <v>0</v>
      </c>
      <c r="Q55" s="26">
        <f t="shared" si="30"/>
        <v>0</v>
      </c>
      <c r="R55" s="26">
        <f t="shared" si="31"/>
        <v>0</v>
      </c>
      <c r="S55" s="26">
        <f t="shared" si="32"/>
        <v>0</v>
      </c>
      <c r="T55" s="26">
        <f t="shared" si="32"/>
        <v>0</v>
      </c>
      <c r="U55" s="42">
        <f t="shared" si="33"/>
        <v>0</v>
      </c>
    </row>
    <row r="56" spans="1:21" ht="19.95" hidden="1" customHeight="1" x14ac:dyDescent="0.3">
      <c r="A56" s="52"/>
      <c r="B56" s="28"/>
      <c r="C56" s="30">
        <v>64076</v>
      </c>
      <c r="D56" s="31" t="s">
        <v>49</v>
      </c>
      <c r="E56" s="43"/>
      <c r="F56" s="27"/>
      <c r="G56" s="27"/>
      <c r="H56" s="44"/>
      <c r="I56" s="49">
        <f>H56*Subsector!$S$11</f>
        <v>0</v>
      </c>
      <c r="J56" s="26">
        <f>H56*Subsector!$S$12</f>
        <v>0</v>
      </c>
      <c r="K56" s="26">
        <f>H56*Subsector!$S$13</f>
        <v>0</v>
      </c>
      <c r="L56" s="26">
        <f>H56*Subsector!$S$15</f>
        <v>0</v>
      </c>
      <c r="M56" s="26">
        <f>H56*Subsector!$S$16</f>
        <v>0</v>
      </c>
      <c r="N56" s="66">
        <f>H56*Subsector!$S$17</f>
        <v>0</v>
      </c>
      <c r="O56" s="41">
        <f t="shared" si="29"/>
        <v>0</v>
      </c>
      <c r="P56" s="26">
        <f t="shared" si="29"/>
        <v>0</v>
      </c>
      <c r="Q56" s="26">
        <f t="shared" si="30"/>
        <v>0</v>
      </c>
      <c r="R56" s="26">
        <f t="shared" si="31"/>
        <v>0</v>
      </c>
      <c r="S56" s="26">
        <f t="shared" si="32"/>
        <v>0</v>
      </c>
      <c r="T56" s="26">
        <f t="shared" si="32"/>
        <v>0</v>
      </c>
      <c r="U56" s="42">
        <f t="shared" si="33"/>
        <v>0</v>
      </c>
    </row>
    <row r="57" spans="1:21" ht="19.95" hidden="1" customHeight="1" x14ac:dyDescent="0.3">
      <c r="A57" s="52"/>
      <c r="B57" s="28"/>
      <c r="C57" s="30">
        <v>64077</v>
      </c>
      <c r="D57" s="31" t="s">
        <v>50</v>
      </c>
      <c r="E57" s="43"/>
      <c r="F57" s="27"/>
      <c r="G57" s="27"/>
      <c r="H57" s="44"/>
      <c r="I57" s="49">
        <f>H57*Subsector!$S$11</f>
        <v>0</v>
      </c>
      <c r="J57" s="26">
        <f>H57*Subsector!$S$12</f>
        <v>0</v>
      </c>
      <c r="K57" s="26">
        <f>H57*Subsector!$S$13</f>
        <v>0</v>
      </c>
      <c r="L57" s="26">
        <f>H57*Subsector!$S$15</f>
        <v>0</v>
      </c>
      <c r="M57" s="26">
        <f>H57*Subsector!$S$16</f>
        <v>0</v>
      </c>
      <c r="N57" s="66">
        <f>H57*Subsector!$S$17</f>
        <v>0</v>
      </c>
      <c r="O57" s="41">
        <f t="shared" si="29"/>
        <v>0</v>
      </c>
      <c r="P57" s="26">
        <f t="shared" si="29"/>
        <v>0</v>
      </c>
      <c r="Q57" s="26">
        <f t="shared" si="30"/>
        <v>0</v>
      </c>
      <c r="R57" s="26">
        <f t="shared" si="31"/>
        <v>0</v>
      </c>
      <c r="S57" s="26">
        <f t="shared" si="32"/>
        <v>0</v>
      </c>
      <c r="T57" s="26">
        <f t="shared" si="32"/>
        <v>0</v>
      </c>
      <c r="U57" s="42">
        <f t="shared" si="33"/>
        <v>0</v>
      </c>
    </row>
    <row r="58" spans="1:21" ht="19.95" hidden="1" customHeight="1" x14ac:dyDescent="0.3">
      <c r="A58" s="52"/>
      <c r="B58" s="28"/>
      <c r="C58" s="30">
        <v>64078</v>
      </c>
      <c r="D58" s="31" t="s">
        <v>87</v>
      </c>
      <c r="E58" s="43"/>
      <c r="F58" s="27"/>
      <c r="G58" s="27"/>
      <c r="H58" s="44"/>
      <c r="I58" s="49">
        <f>H58*Subsector!$S$11</f>
        <v>0</v>
      </c>
      <c r="J58" s="26">
        <f>H58*Subsector!$S$12</f>
        <v>0</v>
      </c>
      <c r="K58" s="26">
        <f>H58*Subsector!$S$13</f>
        <v>0</v>
      </c>
      <c r="L58" s="26">
        <f>H58*Subsector!$S$15</f>
        <v>0</v>
      </c>
      <c r="M58" s="26">
        <f>H58*Subsector!$S$16</f>
        <v>0</v>
      </c>
      <c r="N58" s="66">
        <f>H58*Subsector!$S$17</f>
        <v>0</v>
      </c>
      <c r="O58" s="41">
        <f t="shared" si="29"/>
        <v>0</v>
      </c>
      <c r="P58" s="26">
        <f t="shared" si="29"/>
        <v>0</v>
      </c>
      <c r="Q58" s="26">
        <f t="shared" si="30"/>
        <v>0</v>
      </c>
      <c r="R58" s="26">
        <f t="shared" si="31"/>
        <v>0</v>
      </c>
      <c r="S58" s="26">
        <f t="shared" si="32"/>
        <v>0</v>
      </c>
      <c r="T58" s="26">
        <f t="shared" si="32"/>
        <v>0</v>
      </c>
      <c r="U58" s="42">
        <f t="shared" si="33"/>
        <v>0</v>
      </c>
    </row>
    <row r="59" spans="1:21" ht="19.95" customHeight="1" x14ac:dyDescent="0.3">
      <c r="A59" s="51"/>
      <c r="B59" s="28">
        <v>6498</v>
      </c>
      <c r="C59" s="28"/>
      <c r="D59" s="29" t="s">
        <v>88</v>
      </c>
      <c r="E59" s="39">
        <f>SUM(E60)</f>
        <v>0</v>
      </c>
      <c r="F59" s="22">
        <f t="shared" ref="F59:U59" si="34">SUM(F60)</f>
        <v>10.8</v>
      </c>
      <c r="G59" s="22">
        <f>SUM(G60)</f>
        <v>1</v>
      </c>
      <c r="H59" s="40">
        <f t="shared" si="34"/>
        <v>0.8</v>
      </c>
      <c r="I59" s="36">
        <f t="shared" si="34"/>
        <v>2.8361330857013351E-3</v>
      </c>
      <c r="J59" s="22">
        <f t="shared" si="34"/>
        <v>0.48152580209063234</v>
      </c>
      <c r="K59" s="22">
        <f t="shared" si="34"/>
        <v>0.30178456537198201</v>
      </c>
      <c r="L59" s="22">
        <f t="shared" si="34"/>
        <v>1.0044203874416194E-2</v>
      </c>
      <c r="M59" s="22">
        <f t="shared" si="34"/>
        <v>0</v>
      </c>
      <c r="N59" s="65">
        <f t="shared" si="34"/>
        <v>3.8092955772682153E-3</v>
      </c>
      <c r="O59" s="39">
        <f t="shared" si="34"/>
        <v>0.1</v>
      </c>
      <c r="P59" s="22">
        <f t="shared" si="34"/>
        <v>11.299999999999999</v>
      </c>
      <c r="Q59" s="22">
        <f t="shared" si="34"/>
        <v>0.4</v>
      </c>
      <c r="R59" s="22">
        <f t="shared" si="34"/>
        <v>1.1000000000000001</v>
      </c>
      <c r="S59" s="22">
        <f t="shared" si="34"/>
        <v>0</v>
      </c>
      <c r="T59" s="22">
        <f t="shared" si="34"/>
        <v>0.1</v>
      </c>
      <c r="U59" s="40">
        <f t="shared" si="34"/>
        <v>12.999999999999998</v>
      </c>
    </row>
    <row r="60" spans="1:21" ht="19.95" customHeight="1" thickBot="1" x14ac:dyDescent="0.35">
      <c r="A60" s="56"/>
      <c r="B60" s="57"/>
      <c r="C60" s="58">
        <v>64981</v>
      </c>
      <c r="D60" s="59" t="s">
        <v>88</v>
      </c>
      <c r="E60" s="68"/>
      <c r="F60" s="69">
        <v>10.8</v>
      </c>
      <c r="G60" s="69">
        <v>1</v>
      </c>
      <c r="H60" s="70">
        <v>0.8</v>
      </c>
      <c r="I60" s="63">
        <f>H60*Subsector!$S$11</f>
        <v>2.8361330857013351E-3</v>
      </c>
      <c r="J60" s="61">
        <f>H60*Subsector!$S$12</f>
        <v>0.48152580209063234</v>
      </c>
      <c r="K60" s="61">
        <f>H60*Subsector!$S$13</f>
        <v>0.30178456537198201</v>
      </c>
      <c r="L60" s="61">
        <f>H60*Subsector!$S$15</f>
        <v>1.0044203874416194E-2</v>
      </c>
      <c r="M60" s="61">
        <f>H60*Subsector!$S$16</f>
        <v>0</v>
      </c>
      <c r="N60" s="67">
        <f>H60*Subsector!$S$17</f>
        <v>3.8092955772682153E-3</v>
      </c>
      <c r="O60" s="60">
        <f>ROUNDUP(SUM(E60,I60),1)</f>
        <v>0.1</v>
      </c>
      <c r="P60" s="61">
        <f>ROUNDUP(SUM(F60,J60),1)</f>
        <v>11.299999999999999</v>
      </c>
      <c r="Q60" s="61">
        <f>ROUNDUP(SUM(K60),1)</f>
        <v>0.4</v>
      </c>
      <c r="R60" s="61">
        <f>ROUNDUP(SUM(G60,L60),1)</f>
        <v>1.1000000000000001</v>
      </c>
      <c r="S60" s="61">
        <f>ROUNDUP(SUM(M60),1)</f>
        <v>0</v>
      </c>
      <c r="T60" s="61">
        <f>ROUNDUP(SUM(N60),1)</f>
        <v>0.1</v>
      </c>
      <c r="U60" s="62">
        <f>SUM(O60:T60)</f>
        <v>12.999999999999998</v>
      </c>
    </row>
  </sheetData>
  <sheetProtection algorithmName="SHA-512" hashValue="ijlKraSF8eHlnA9SH7V9T7mC0VKVxLlblRZ4KQXmgHD1AaRrqfS6eA7bo1H83Zgjm6XJjRdsQ9YSQsIzRIOdMg==" saltValue="EkLKoVbkgq+Hs5VUudUPcA==" spinCount="100000" sheet="1" formatCells="0" formatColumns="0" formatRows="0" sort="0" autoFilter="0" pivotTables="0"/>
  <mergeCells count="8">
    <mergeCell ref="A3:U3"/>
    <mergeCell ref="A5:A7"/>
    <mergeCell ref="B5:B7"/>
    <mergeCell ref="C5:C7"/>
    <mergeCell ref="D5:D7"/>
    <mergeCell ref="E5:H5"/>
    <mergeCell ref="I5:N6"/>
    <mergeCell ref="O5:U6"/>
  </mergeCells>
  <pageMargins left="0.11811023622047245" right="0.11811023622047245" top="0.74803149606299213" bottom="0.74803149606299213" header="0.31496062992125984" footer="0.31496062992125984"/>
  <pageSetup paperSize="9" scale="85" orientation="landscape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CBD5D-0C6E-472D-9FB3-92BD22B1CE54}">
  <sheetPr codeName="Sheet8"/>
  <dimension ref="A1:U60"/>
  <sheetViews>
    <sheetView topLeftCell="A2" zoomScaleNormal="100" workbookViewId="0">
      <selection activeCell="X7" sqref="X7"/>
    </sheetView>
  </sheetViews>
  <sheetFormatPr defaultRowHeight="14.4" x14ac:dyDescent="0.3"/>
  <cols>
    <col min="1" max="1" width="4.6640625" customWidth="1"/>
    <col min="2" max="2" width="6.5546875" customWidth="1"/>
    <col min="3" max="3" width="9.44140625" customWidth="1"/>
    <col min="4" max="4" width="32.21875" customWidth="1"/>
    <col min="5" max="5" width="6.33203125" customWidth="1"/>
    <col min="6" max="6" width="8.21875" customWidth="1"/>
    <col min="7" max="7" width="6" customWidth="1"/>
    <col min="8" max="8" width="8.21875" customWidth="1"/>
    <col min="9" max="9" width="6.21875" customWidth="1"/>
    <col min="10" max="11" width="8.77734375" customWidth="1"/>
    <col min="12" max="12" width="5.5546875" customWidth="1"/>
    <col min="13" max="13" width="4.33203125" customWidth="1"/>
    <col min="14" max="14" width="5.44140625" customWidth="1"/>
    <col min="15" max="15" width="5.5546875" customWidth="1"/>
    <col min="16" max="16" width="7.88671875" customWidth="1"/>
    <col min="17" max="17" width="7.6640625" customWidth="1"/>
    <col min="18" max="19" width="5.88671875" customWidth="1"/>
    <col min="20" max="20" width="5.6640625" customWidth="1"/>
    <col min="21" max="21" width="8.77734375" customWidth="1"/>
  </cols>
  <sheetData>
    <row r="1" spans="1:21" ht="21.45" customHeight="1" x14ac:dyDescent="0.3"/>
    <row r="2" spans="1:21" ht="21.45" customHeight="1" x14ac:dyDescent="0.3"/>
    <row r="3" spans="1:21" ht="36.450000000000003" customHeight="1" x14ac:dyDescent="0.3">
      <c r="A3" s="108" t="s">
        <v>101</v>
      </c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</row>
    <row r="4" spans="1:21" ht="21.45" customHeight="1" thickBot="1" x14ac:dyDescent="0.35"/>
    <row r="5" spans="1:21" ht="43.5" customHeight="1" x14ac:dyDescent="0.3">
      <c r="A5" s="123" t="s">
        <v>39</v>
      </c>
      <c r="B5" s="121" t="s">
        <v>40</v>
      </c>
      <c r="C5" s="121" t="s">
        <v>41</v>
      </c>
      <c r="D5" s="119" t="s">
        <v>42</v>
      </c>
      <c r="E5" s="125" t="s">
        <v>99</v>
      </c>
      <c r="F5" s="126"/>
      <c r="G5" s="126"/>
      <c r="H5" s="127"/>
      <c r="I5" s="140" t="s">
        <v>94</v>
      </c>
      <c r="J5" s="141"/>
      <c r="K5" s="141"/>
      <c r="L5" s="141"/>
      <c r="M5" s="141"/>
      <c r="N5" s="142"/>
      <c r="O5" s="134" t="s">
        <v>95</v>
      </c>
      <c r="P5" s="135"/>
      <c r="Q5" s="135"/>
      <c r="R5" s="135"/>
      <c r="S5" s="135"/>
      <c r="T5" s="135"/>
      <c r="U5" s="136"/>
    </row>
    <row r="6" spans="1:21" ht="43.05" customHeight="1" x14ac:dyDescent="0.8">
      <c r="A6" s="124"/>
      <c r="B6" s="122"/>
      <c r="C6" s="122"/>
      <c r="D6" s="120"/>
      <c r="E6" s="45"/>
      <c r="F6" s="46"/>
      <c r="G6" s="46"/>
      <c r="H6" s="47"/>
      <c r="I6" s="143"/>
      <c r="J6" s="144"/>
      <c r="K6" s="144"/>
      <c r="L6" s="144"/>
      <c r="M6" s="144"/>
      <c r="N6" s="145"/>
      <c r="O6" s="137"/>
      <c r="P6" s="138"/>
      <c r="Q6" s="138"/>
      <c r="R6" s="138"/>
      <c r="S6" s="138"/>
      <c r="T6" s="138"/>
      <c r="U6" s="139"/>
    </row>
    <row r="7" spans="1:21" ht="132.44999999999999" customHeight="1" x14ac:dyDescent="0.3">
      <c r="A7" s="124"/>
      <c r="B7" s="122"/>
      <c r="C7" s="122"/>
      <c r="D7" s="120"/>
      <c r="E7" s="146" t="s">
        <v>25</v>
      </c>
      <c r="F7" s="147" t="s">
        <v>26</v>
      </c>
      <c r="G7" s="147" t="s">
        <v>29</v>
      </c>
      <c r="H7" s="148" t="s">
        <v>91</v>
      </c>
      <c r="I7" s="149" t="s">
        <v>25</v>
      </c>
      <c r="J7" s="150" t="s">
        <v>26</v>
      </c>
      <c r="K7" s="150" t="s">
        <v>27</v>
      </c>
      <c r="L7" s="150" t="s">
        <v>29</v>
      </c>
      <c r="M7" s="150" t="s">
        <v>30</v>
      </c>
      <c r="N7" s="151" t="s">
        <v>31</v>
      </c>
      <c r="O7" s="152" t="s">
        <v>25</v>
      </c>
      <c r="P7" s="153" t="s">
        <v>26</v>
      </c>
      <c r="Q7" s="153" t="s">
        <v>27</v>
      </c>
      <c r="R7" s="153" t="s">
        <v>29</v>
      </c>
      <c r="S7" s="153" t="s">
        <v>30</v>
      </c>
      <c r="T7" s="153" t="s">
        <v>31</v>
      </c>
      <c r="U7" s="154" t="s">
        <v>12</v>
      </c>
    </row>
    <row r="8" spans="1:21" ht="19.95" customHeight="1" x14ac:dyDescent="0.3">
      <c r="A8" s="50">
        <v>64</v>
      </c>
      <c r="B8" s="32"/>
      <c r="C8" s="32"/>
      <c r="D8" s="33" t="s">
        <v>43</v>
      </c>
      <c r="E8" s="37">
        <f>SUM(E9,E18,E27,E33,E37,E45,E50,E59)</f>
        <v>0</v>
      </c>
      <c r="F8" s="34">
        <f t="shared" ref="F8:U8" si="0">SUM(F9,F18,F27,F33,F37,F45,F50,F59)</f>
        <v>7992.2000000000016</v>
      </c>
      <c r="G8" s="34">
        <f t="shared" si="0"/>
        <v>62</v>
      </c>
      <c r="H8" s="38">
        <f t="shared" si="0"/>
        <v>351.7</v>
      </c>
      <c r="I8" s="35">
        <f t="shared" si="0"/>
        <v>1.2468350078014494</v>
      </c>
      <c r="J8" s="34">
        <f t="shared" si="0"/>
        <v>211.69078074409424</v>
      </c>
      <c r="K8" s="34">
        <f t="shared" si="0"/>
        <v>132.67203955165758</v>
      </c>
      <c r="L8" s="34">
        <f t="shared" si="0"/>
        <v>4.4156831282902189</v>
      </c>
      <c r="M8" s="34">
        <f t="shared" si="0"/>
        <v>0</v>
      </c>
      <c r="N8" s="64">
        <f t="shared" si="0"/>
        <v>1.6746615681565391</v>
      </c>
      <c r="O8" s="37">
        <f t="shared" si="0"/>
        <v>1.7</v>
      </c>
      <c r="P8" s="34">
        <f t="shared" si="0"/>
        <v>8204.4</v>
      </c>
      <c r="Q8" s="34">
        <f t="shared" si="0"/>
        <v>132.99999999999997</v>
      </c>
      <c r="R8" s="34">
        <f t="shared" si="0"/>
        <v>66.8</v>
      </c>
      <c r="S8" s="34">
        <f t="shared" si="0"/>
        <v>0</v>
      </c>
      <c r="T8" s="34">
        <f t="shared" si="0"/>
        <v>2.2000000000000002</v>
      </c>
      <c r="U8" s="38">
        <f t="shared" si="0"/>
        <v>8408.1</v>
      </c>
    </row>
    <row r="9" spans="1:21" ht="19.95" hidden="1" customHeight="1" x14ac:dyDescent="0.3">
      <c r="A9" s="51"/>
      <c r="B9" s="23">
        <v>6401</v>
      </c>
      <c r="C9" s="23"/>
      <c r="D9" s="21" t="s">
        <v>90</v>
      </c>
      <c r="E9" s="39">
        <f>SUM(E10:E17)</f>
        <v>0</v>
      </c>
      <c r="F9" s="22">
        <f>SUM(F10:F17)</f>
        <v>0</v>
      </c>
      <c r="G9" s="22">
        <f t="shared" ref="G9:U9" si="1">SUM(G10:G17)</f>
        <v>0</v>
      </c>
      <c r="H9" s="40">
        <f t="shared" si="1"/>
        <v>0</v>
      </c>
      <c r="I9" s="36">
        <f t="shared" si="1"/>
        <v>0</v>
      </c>
      <c r="J9" s="22">
        <f t="shared" si="1"/>
        <v>0</v>
      </c>
      <c r="K9" s="22">
        <f t="shared" si="1"/>
        <v>0</v>
      </c>
      <c r="L9" s="22">
        <f t="shared" si="1"/>
        <v>0</v>
      </c>
      <c r="M9" s="22">
        <f t="shared" si="1"/>
        <v>0</v>
      </c>
      <c r="N9" s="65">
        <f t="shared" si="1"/>
        <v>0</v>
      </c>
      <c r="O9" s="39">
        <f>SUM(O10:O17)</f>
        <v>0</v>
      </c>
      <c r="P9" s="22">
        <f t="shared" si="1"/>
        <v>0</v>
      </c>
      <c r="Q9" s="22">
        <f t="shared" si="1"/>
        <v>0</v>
      </c>
      <c r="R9" s="22">
        <f t="shared" si="1"/>
        <v>0</v>
      </c>
      <c r="S9" s="22">
        <f t="shared" si="1"/>
        <v>0</v>
      </c>
      <c r="T9" s="22">
        <f t="shared" si="1"/>
        <v>0</v>
      </c>
      <c r="U9" s="40">
        <f t="shared" si="1"/>
        <v>0</v>
      </c>
    </row>
    <row r="10" spans="1:21" ht="19.95" hidden="1" customHeight="1" x14ac:dyDescent="0.3">
      <c r="A10" s="52"/>
      <c r="B10" s="24"/>
      <c r="C10" s="24">
        <v>64011</v>
      </c>
      <c r="D10" s="25" t="s">
        <v>44</v>
      </c>
      <c r="E10" s="43"/>
      <c r="F10" s="27"/>
      <c r="G10" s="27"/>
      <c r="H10" s="44"/>
      <c r="I10" s="49">
        <f>H10*Subsector!$S$11</f>
        <v>0</v>
      </c>
      <c r="J10" s="26">
        <f>H10*Subsector!$S$12</f>
        <v>0</v>
      </c>
      <c r="K10" s="26">
        <f>H10*Subsector!$S$13</f>
        <v>0</v>
      </c>
      <c r="L10" s="26">
        <f>H10*Subsector!$S$15</f>
        <v>0</v>
      </c>
      <c r="M10" s="26">
        <f>H10*Subsector!$S$16</f>
        <v>0</v>
      </c>
      <c r="N10" s="66">
        <f>H10*Subsector!$S$17</f>
        <v>0</v>
      </c>
      <c r="O10" s="41">
        <f t="shared" ref="O10:P17" si="2">ROUNDUP(SUM(E10,I10),1)</f>
        <v>0</v>
      </c>
      <c r="P10" s="26">
        <f t="shared" si="2"/>
        <v>0</v>
      </c>
      <c r="Q10" s="26">
        <f t="shared" ref="Q10:Q17" si="3">ROUNDUP(SUM(K10),1)</f>
        <v>0</v>
      </c>
      <c r="R10" s="26">
        <f t="shared" ref="R10:R17" si="4">ROUNDUP(SUM(G10,L10),1)</f>
        <v>0</v>
      </c>
      <c r="S10" s="26">
        <f t="shared" ref="S10:T17" si="5">ROUNDUP(SUM(M10),1)</f>
        <v>0</v>
      </c>
      <c r="T10" s="26">
        <f t="shared" si="5"/>
        <v>0</v>
      </c>
      <c r="U10" s="42">
        <f t="shared" ref="U10:U17" si="6">SUM(O10:T10)</f>
        <v>0</v>
      </c>
    </row>
    <row r="11" spans="1:21" ht="19.95" hidden="1" customHeight="1" x14ac:dyDescent="0.3">
      <c r="A11" s="52"/>
      <c r="B11" s="24"/>
      <c r="C11" s="24">
        <v>64012</v>
      </c>
      <c r="D11" s="25" t="s">
        <v>89</v>
      </c>
      <c r="E11" s="43"/>
      <c r="F11" s="27"/>
      <c r="G11" s="27"/>
      <c r="H11" s="44"/>
      <c r="I11" s="49">
        <f>H11*Subsector!$S$11</f>
        <v>0</v>
      </c>
      <c r="J11" s="26">
        <f>H11*Subsector!$S$12</f>
        <v>0</v>
      </c>
      <c r="K11" s="26">
        <f>H11*Subsector!$S$13</f>
        <v>0</v>
      </c>
      <c r="L11" s="26">
        <f>H11*Subsector!$S$15</f>
        <v>0</v>
      </c>
      <c r="M11" s="26">
        <f>H11*Subsector!$S$16</f>
        <v>0</v>
      </c>
      <c r="N11" s="66">
        <f>H11*Subsector!$S$17</f>
        <v>0</v>
      </c>
      <c r="O11" s="41">
        <f t="shared" si="2"/>
        <v>0</v>
      </c>
      <c r="P11" s="26">
        <f t="shared" si="2"/>
        <v>0</v>
      </c>
      <c r="Q11" s="26">
        <f t="shared" si="3"/>
        <v>0</v>
      </c>
      <c r="R11" s="26">
        <f t="shared" si="4"/>
        <v>0</v>
      </c>
      <c r="S11" s="26">
        <f t="shared" si="5"/>
        <v>0</v>
      </c>
      <c r="T11" s="26">
        <f t="shared" si="5"/>
        <v>0</v>
      </c>
      <c r="U11" s="42">
        <f t="shared" si="6"/>
        <v>0</v>
      </c>
    </row>
    <row r="12" spans="1:21" ht="19.95" hidden="1" customHeight="1" x14ac:dyDescent="0.3">
      <c r="A12" s="52"/>
      <c r="B12" s="24"/>
      <c r="C12" s="24">
        <v>64013</v>
      </c>
      <c r="D12" s="25" t="s">
        <v>45</v>
      </c>
      <c r="E12" s="43"/>
      <c r="F12" s="27">
        <v>0</v>
      </c>
      <c r="G12" s="27">
        <v>0</v>
      </c>
      <c r="H12" s="44">
        <v>0</v>
      </c>
      <c r="I12" s="49">
        <f>H12*Subsector!$S$11</f>
        <v>0</v>
      </c>
      <c r="J12" s="26">
        <f>H12*Subsector!$S$12</f>
        <v>0</v>
      </c>
      <c r="K12" s="26">
        <f>H12*Subsector!$S$13</f>
        <v>0</v>
      </c>
      <c r="L12" s="26">
        <f>H12*Subsector!$S$15</f>
        <v>0</v>
      </c>
      <c r="M12" s="26">
        <f>H12*Subsector!$S$16</f>
        <v>0</v>
      </c>
      <c r="N12" s="66">
        <f>H12*Subsector!$S$17</f>
        <v>0</v>
      </c>
      <c r="O12" s="41">
        <f t="shared" si="2"/>
        <v>0</v>
      </c>
      <c r="P12" s="26">
        <f t="shared" si="2"/>
        <v>0</v>
      </c>
      <c r="Q12" s="26">
        <f t="shared" si="3"/>
        <v>0</v>
      </c>
      <c r="R12" s="26">
        <f t="shared" si="4"/>
        <v>0</v>
      </c>
      <c r="S12" s="26">
        <f t="shared" si="5"/>
        <v>0</v>
      </c>
      <c r="T12" s="26">
        <f t="shared" si="5"/>
        <v>0</v>
      </c>
      <c r="U12" s="42">
        <f t="shared" si="6"/>
        <v>0</v>
      </c>
    </row>
    <row r="13" spans="1:21" ht="19.95" hidden="1" customHeight="1" x14ac:dyDescent="0.3">
      <c r="A13" s="52"/>
      <c r="B13" s="24"/>
      <c r="C13" s="24">
        <v>64014</v>
      </c>
      <c r="D13" s="25" t="s">
        <v>46</v>
      </c>
      <c r="E13" s="43"/>
      <c r="F13" s="27">
        <v>0</v>
      </c>
      <c r="G13" s="27">
        <v>0</v>
      </c>
      <c r="H13" s="44">
        <v>0</v>
      </c>
      <c r="I13" s="49">
        <f>H13*Subsector!$S$11</f>
        <v>0</v>
      </c>
      <c r="J13" s="26">
        <f>H13*Subsector!$S$12</f>
        <v>0</v>
      </c>
      <c r="K13" s="26">
        <f>H13*Subsector!$S$13</f>
        <v>0</v>
      </c>
      <c r="L13" s="26">
        <f>H13*Subsector!$S$15</f>
        <v>0</v>
      </c>
      <c r="M13" s="26">
        <f>H13*Subsector!$S$16</f>
        <v>0</v>
      </c>
      <c r="N13" s="66">
        <f>H13*Subsector!$S$17</f>
        <v>0</v>
      </c>
      <c r="O13" s="41">
        <f t="shared" si="2"/>
        <v>0</v>
      </c>
      <c r="P13" s="26">
        <f t="shared" si="2"/>
        <v>0</v>
      </c>
      <c r="Q13" s="26">
        <f t="shared" si="3"/>
        <v>0</v>
      </c>
      <c r="R13" s="26">
        <f t="shared" si="4"/>
        <v>0</v>
      </c>
      <c r="S13" s="26">
        <f t="shared" si="5"/>
        <v>0</v>
      </c>
      <c r="T13" s="26">
        <f t="shared" si="5"/>
        <v>0</v>
      </c>
      <c r="U13" s="42">
        <f t="shared" si="6"/>
        <v>0</v>
      </c>
    </row>
    <row r="14" spans="1:21" ht="19.95" hidden="1" customHeight="1" x14ac:dyDescent="0.3">
      <c r="A14" s="52"/>
      <c r="B14" s="24"/>
      <c r="C14" s="24">
        <v>64015</v>
      </c>
      <c r="D14" s="25" t="s">
        <v>47</v>
      </c>
      <c r="E14" s="43"/>
      <c r="F14" s="27"/>
      <c r="G14" s="27"/>
      <c r="H14" s="44"/>
      <c r="I14" s="49">
        <f>H14*Subsector!$S$11</f>
        <v>0</v>
      </c>
      <c r="J14" s="26">
        <f>H14*Subsector!$S$12</f>
        <v>0</v>
      </c>
      <c r="K14" s="26">
        <f>H14*Subsector!$S$13</f>
        <v>0</v>
      </c>
      <c r="L14" s="26">
        <f>H14*Subsector!$S$15</f>
        <v>0</v>
      </c>
      <c r="M14" s="26">
        <f>H14*Subsector!$S$16</f>
        <v>0</v>
      </c>
      <c r="N14" s="66">
        <f>H14*Subsector!$S$17</f>
        <v>0</v>
      </c>
      <c r="O14" s="41">
        <f t="shared" si="2"/>
        <v>0</v>
      </c>
      <c r="P14" s="26">
        <f t="shared" si="2"/>
        <v>0</v>
      </c>
      <c r="Q14" s="26">
        <f t="shared" si="3"/>
        <v>0</v>
      </c>
      <c r="R14" s="26">
        <f t="shared" si="4"/>
        <v>0</v>
      </c>
      <c r="S14" s="26">
        <f t="shared" si="5"/>
        <v>0</v>
      </c>
      <c r="T14" s="26">
        <f t="shared" si="5"/>
        <v>0</v>
      </c>
      <c r="U14" s="42">
        <f t="shared" si="6"/>
        <v>0</v>
      </c>
    </row>
    <row r="15" spans="1:21" ht="19.95" hidden="1" customHeight="1" x14ac:dyDescent="0.3">
      <c r="A15" s="52"/>
      <c r="B15" s="24"/>
      <c r="C15" s="24">
        <v>64016</v>
      </c>
      <c r="D15" s="25" t="s">
        <v>48</v>
      </c>
      <c r="E15" s="43"/>
      <c r="F15" s="27"/>
      <c r="G15" s="27"/>
      <c r="H15" s="44"/>
      <c r="I15" s="49">
        <f>H15*Subsector!$S$11</f>
        <v>0</v>
      </c>
      <c r="J15" s="26">
        <f>H15*Subsector!$S$12</f>
        <v>0</v>
      </c>
      <c r="K15" s="26">
        <f>H15*Subsector!$S$13</f>
        <v>0</v>
      </c>
      <c r="L15" s="26">
        <f>H15*Subsector!$S$15</f>
        <v>0</v>
      </c>
      <c r="M15" s="26">
        <f>H15*Subsector!$S$16</f>
        <v>0</v>
      </c>
      <c r="N15" s="66">
        <f>H15*Subsector!$S$17</f>
        <v>0</v>
      </c>
      <c r="O15" s="41">
        <f t="shared" si="2"/>
        <v>0</v>
      </c>
      <c r="P15" s="26">
        <f t="shared" si="2"/>
        <v>0</v>
      </c>
      <c r="Q15" s="26">
        <f t="shared" si="3"/>
        <v>0</v>
      </c>
      <c r="R15" s="26">
        <f t="shared" si="4"/>
        <v>0</v>
      </c>
      <c r="S15" s="26">
        <f t="shared" si="5"/>
        <v>0</v>
      </c>
      <c r="T15" s="26">
        <f t="shared" si="5"/>
        <v>0</v>
      </c>
      <c r="U15" s="42">
        <f t="shared" si="6"/>
        <v>0</v>
      </c>
    </row>
    <row r="16" spans="1:21" ht="19.95" hidden="1" customHeight="1" x14ac:dyDescent="0.3">
      <c r="A16" s="52"/>
      <c r="B16" s="24"/>
      <c r="C16" s="24">
        <v>64017</v>
      </c>
      <c r="D16" s="25" t="s">
        <v>49</v>
      </c>
      <c r="E16" s="43"/>
      <c r="F16" s="27"/>
      <c r="G16" s="27"/>
      <c r="H16" s="44"/>
      <c r="I16" s="49">
        <f>H16*Subsector!$S$11</f>
        <v>0</v>
      </c>
      <c r="J16" s="26">
        <f>H16*Subsector!$S$12</f>
        <v>0</v>
      </c>
      <c r="K16" s="26">
        <f>H16*Subsector!$S$13</f>
        <v>0</v>
      </c>
      <c r="L16" s="26">
        <f>H16*Subsector!$S$15</f>
        <v>0</v>
      </c>
      <c r="M16" s="26">
        <f>H16*Subsector!$S$16</f>
        <v>0</v>
      </c>
      <c r="N16" s="66">
        <f>H16*Subsector!$S$17</f>
        <v>0</v>
      </c>
      <c r="O16" s="41">
        <f t="shared" si="2"/>
        <v>0</v>
      </c>
      <c r="P16" s="26">
        <f t="shared" si="2"/>
        <v>0</v>
      </c>
      <c r="Q16" s="26">
        <f t="shared" si="3"/>
        <v>0</v>
      </c>
      <c r="R16" s="26">
        <f t="shared" si="4"/>
        <v>0</v>
      </c>
      <c r="S16" s="26">
        <f t="shared" si="5"/>
        <v>0</v>
      </c>
      <c r="T16" s="26">
        <f t="shared" si="5"/>
        <v>0</v>
      </c>
      <c r="U16" s="42">
        <f t="shared" si="6"/>
        <v>0</v>
      </c>
    </row>
    <row r="17" spans="1:21" ht="19.95" hidden="1" customHeight="1" x14ac:dyDescent="0.3">
      <c r="A17" s="52"/>
      <c r="B17" s="24"/>
      <c r="C17" s="24">
        <v>64018</v>
      </c>
      <c r="D17" s="25" t="s">
        <v>50</v>
      </c>
      <c r="E17" s="43"/>
      <c r="F17" s="27"/>
      <c r="G17" s="27"/>
      <c r="H17" s="44"/>
      <c r="I17" s="49">
        <f>H17*Subsector!$S$11</f>
        <v>0</v>
      </c>
      <c r="J17" s="26">
        <f>H17*Subsector!$S$12</f>
        <v>0</v>
      </c>
      <c r="K17" s="26">
        <f>H17*Subsector!$S$13</f>
        <v>0</v>
      </c>
      <c r="L17" s="26">
        <f>H17*Subsector!$S$15</f>
        <v>0</v>
      </c>
      <c r="M17" s="26">
        <f>H17*Subsector!$S$16</f>
        <v>0</v>
      </c>
      <c r="N17" s="66">
        <f>H17*Subsector!$S$17</f>
        <v>0</v>
      </c>
      <c r="O17" s="41">
        <f t="shared" si="2"/>
        <v>0</v>
      </c>
      <c r="P17" s="26">
        <f t="shared" si="2"/>
        <v>0</v>
      </c>
      <c r="Q17" s="26">
        <f t="shared" si="3"/>
        <v>0</v>
      </c>
      <c r="R17" s="26">
        <f t="shared" si="4"/>
        <v>0</v>
      </c>
      <c r="S17" s="26">
        <f t="shared" si="5"/>
        <v>0</v>
      </c>
      <c r="T17" s="26">
        <f t="shared" si="5"/>
        <v>0</v>
      </c>
      <c r="U17" s="42">
        <f t="shared" si="6"/>
        <v>0</v>
      </c>
    </row>
    <row r="18" spans="1:21" ht="19.95" customHeight="1" x14ac:dyDescent="0.3">
      <c r="A18" s="51"/>
      <c r="B18" s="23">
        <v>6402</v>
      </c>
      <c r="C18" s="23"/>
      <c r="D18" s="21" t="s">
        <v>51</v>
      </c>
      <c r="E18" s="39">
        <f>SUM(E19:E26)</f>
        <v>0</v>
      </c>
      <c r="F18" s="22">
        <f t="shared" ref="F18:U18" si="7">SUM(F19:F26)</f>
        <v>7713.0000000000009</v>
      </c>
      <c r="G18" s="22">
        <f t="shared" si="7"/>
        <v>0</v>
      </c>
      <c r="H18" s="40">
        <f t="shared" si="7"/>
        <v>346.8</v>
      </c>
      <c r="I18" s="36">
        <f t="shared" si="7"/>
        <v>1.2294636926515288</v>
      </c>
      <c r="J18" s="22">
        <f t="shared" si="7"/>
        <v>208.74143520628911</v>
      </c>
      <c r="K18" s="22">
        <f t="shared" si="7"/>
        <v>130.82360908875418</v>
      </c>
      <c r="L18" s="22">
        <f t="shared" si="7"/>
        <v>4.35416237955942</v>
      </c>
      <c r="M18" s="22">
        <f t="shared" si="7"/>
        <v>0</v>
      </c>
      <c r="N18" s="65">
        <f t="shared" si="7"/>
        <v>1.6513296327457714</v>
      </c>
      <c r="O18" s="39">
        <f t="shared" si="7"/>
        <v>1.4</v>
      </c>
      <c r="P18" s="22">
        <f t="shared" si="7"/>
        <v>7922</v>
      </c>
      <c r="Q18" s="22">
        <f t="shared" si="7"/>
        <v>130.99999999999997</v>
      </c>
      <c r="R18" s="22">
        <f t="shared" si="7"/>
        <v>4.5</v>
      </c>
      <c r="S18" s="22">
        <f t="shared" si="7"/>
        <v>0</v>
      </c>
      <c r="T18" s="22">
        <f t="shared" si="7"/>
        <v>1.9</v>
      </c>
      <c r="U18" s="40">
        <f t="shared" si="7"/>
        <v>8060.8</v>
      </c>
    </row>
    <row r="19" spans="1:21" ht="19.95" customHeight="1" x14ac:dyDescent="0.3">
      <c r="A19" s="52"/>
      <c r="B19" s="24"/>
      <c r="C19" s="24">
        <v>64021</v>
      </c>
      <c r="D19" s="25" t="s">
        <v>52</v>
      </c>
      <c r="E19" s="43"/>
      <c r="F19" s="27">
        <v>3057.1</v>
      </c>
      <c r="G19" s="27">
        <v>0</v>
      </c>
      <c r="H19" s="44">
        <v>178</v>
      </c>
      <c r="I19" s="49">
        <f>H19*Subsector!$S$11</f>
        <v>0.63103961156854704</v>
      </c>
      <c r="J19" s="26">
        <f>H19*Subsector!$S$12</f>
        <v>107.13949096516569</v>
      </c>
      <c r="K19" s="26">
        <f>H19*Subsector!$S$13</f>
        <v>67.147065795265988</v>
      </c>
      <c r="L19" s="26">
        <f>H19*Subsector!$S$15</f>
        <v>2.2348353620576029</v>
      </c>
      <c r="M19" s="26">
        <f>H19*Subsector!$S$16</f>
        <v>0</v>
      </c>
      <c r="N19" s="66">
        <f>H19*Subsector!$S$17</f>
        <v>0.84756826594217793</v>
      </c>
      <c r="O19" s="41">
        <f t="shared" ref="O19:P26" si="8">ROUNDUP(SUM(E19,I19),1)</f>
        <v>0.7</v>
      </c>
      <c r="P19" s="26">
        <f t="shared" si="8"/>
        <v>3164.2999999999997</v>
      </c>
      <c r="Q19" s="26">
        <f t="shared" ref="Q19:Q26" si="9">ROUNDUP(SUM(K19),1)</f>
        <v>67.199999999999989</v>
      </c>
      <c r="R19" s="26">
        <f t="shared" ref="R19:R26" si="10">ROUNDUP(SUM(G19,L19),1)</f>
        <v>2.3000000000000003</v>
      </c>
      <c r="S19" s="26">
        <f t="shared" ref="S19:T26" si="11">ROUNDUP(SUM(M19),1)</f>
        <v>0</v>
      </c>
      <c r="T19" s="26">
        <f t="shared" si="11"/>
        <v>0.9</v>
      </c>
      <c r="U19" s="42">
        <f t="shared" ref="U19:U26" si="12">SUM(O19:T19)</f>
        <v>3235.3999999999996</v>
      </c>
    </row>
    <row r="20" spans="1:21" ht="19.95" customHeight="1" x14ac:dyDescent="0.3">
      <c r="A20" s="52"/>
      <c r="B20" s="24"/>
      <c r="C20" s="24">
        <v>64022</v>
      </c>
      <c r="D20" s="25" t="s">
        <v>53</v>
      </c>
      <c r="E20" s="43"/>
      <c r="F20" s="27">
        <v>2991.5</v>
      </c>
      <c r="G20" s="27">
        <v>0</v>
      </c>
      <c r="H20" s="44">
        <v>147.19999999999999</v>
      </c>
      <c r="I20" s="49">
        <f>H20*Subsector!$S$11</f>
        <v>0.52184848776904558</v>
      </c>
      <c r="J20" s="26">
        <f>H20*Subsector!$S$12</f>
        <v>88.600747584676341</v>
      </c>
      <c r="K20" s="26">
        <f>H20*Subsector!$S$13</f>
        <v>55.528360028444681</v>
      </c>
      <c r="L20" s="26">
        <f>H20*Subsector!$S$15</f>
        <v>1.8481335128925793</v>
      </c>
      <c r="M20" s="26">
        <f>H20*Subsector!$S$16</f>
        <v>0</v>
      </c>
      <c r="N20" s="66">
        <f>H20*Subsector!$S$17</f>
        <v>0.70091038621735158</v>
      </c>
      <c r="O20" s="41">
        <f t="shared" si="8"/>
        <v>0.6</v>
      </c>
      <c r="P20" s="26">
        <f t="shared" si="8"/>
        <v>3080.2</v>
      </c>
      <c r="Q20" s="26">
        <f t="shared" si="9"/>
        <v>55.6</v>
      </c>
      <c r="R20" s="26">
        <f t="shared" si="10"/>
        <v>1.9000000000000001</v>
      </c>
      <c r="S20" s="26">
        <f t="shared" si="11"/>
        <v>0</v>
      </c>
      <c r="T20" s="26">
        <f t="shared" si="11"/>
        <v>0.79999999999999993</v>
      </c>
      <c r="U20" s="42">
        <f t="shared" si="12"/>
        <v>3139.1</v>
      </c>
    </row>
    <row r="21" spans="1:21" ht="19.95" customHeight="1" x14ac:dyDescent="0.3">
      <c r="A21" s="52"/>
      <c r="B21" s="24"/>
      <c r="C21" s="24">
        <v>64023</v>
      </c>
      <c r="D21" s="25" t="s">
        <v>54</v>
      </c>
      <c r="E21" s="43"/>
      <c r="F21" s="27">
        <v>1212.5999999999999</v>
      </c>
      <c r="G21" s="27">
        <v>0</v>
      </c>
      <c r="H21" s="44">
        <v>0</v>
      </c>
      <c r="I21" s="49">
        <f>H21*Subsector!$S$11</f>
        <v>0</v>
      </c>
      <c r="J21" s="26">
        <f>H21*Subsector!$S$12</f>
        <v>0</v>
      </c>
      <c r="K21" s="26">
        <f>H21*Subsector!$S$13</f>
        <v>0</v>
      </c>
      <c r="L21" s="26">
        <f>H21*Subsector!$S$15</f>
        <v>0</v>
      </c>
      <c r="M21" s="26">
        <f>H21*Subsector!$S$16</f>
        <v>0</v>
      </c>
      <c r="N21" s="66">
        <f>H21*Subsector!$S$17</f>
        <v>0</v>
      </c>
      <c r="O21" s="41">
        <f t="shared" si="8"/>
        <v>0</v>
      </c>
      <c r="P21" s="26">
        <f t="shared" si="8"/>
        <v>1212.5999999999999</v>
      </c>
      <c r="Q21" s="26">
        <f t="shared" si="9"/>
        <v>0</v>
      </c>
      <c r="R21" s="26">
        <f t="shared" si="10"/>
        <v>0</v>
      </c>
      <c r="S21" s="26">
        <f t="shared" si="11"/>
        <v>0</v>
      </c>
      <c r="T21" s="26">
        <f t="shared" si="11"/>
        <v>0</v>
      </c>
      <c r="U21" s="42">
        <f t="shared" si="12"/>
        <v>1212.5999999999999</v>
      </c>
    </row>
    <row r="22" spans="1:21" ht="19.95" customHeight="1" x14ac:dyDescent="0.3">
      <c r="A22" s="52"/>
      <c r="B22" s="24"/>
      <c r="C22" s="24">
        <v>64024</v>
      </c>
      <c r="D22" s="25" t="s">
        <v>55</v>
      </c>
      <c r="E22" s="43"/>
      <c r="F22" s="27"/>
      <c r="G22" s="27"/>
      <c r="H22" s="44"/>
      <c r="I22" s="49">
        <f>H22*Subsector!$S$11</f>
        <v>0</v>
      </c>
      <c r="J22" s="26">
        <f>H22*Subsector!$S$12</f>
        <v>0</v>
      </c>
      <c r="K22" s="26">
        <f>H22*Subsector!$S$13</f>
        <v>0</v>
      </c>
      <c r="L22" s="26">
        <f>H22*Subsector!$S$15</f>
        <v>0</v>
      </c>
      <c r="M22" s="26">
        <f>H22*Subsector!$S$16</f>
        <v>0</v>
      </c>
      <c r="N22" s="66">
        <f>H22*Subsector!$S$17</f>
        <v>0</v>
      </c>
      <c r="O22" s="41">
        <f t="shared" si="8"/>
        <v>0</v>
      </c>
      <c r="P22" s="26">
        <f t="shared" si="8"/>
        <v>0</v>
      </c>
      <c r="Q22" s="26">
        <f t="shared" si="9"/>
        <v>0</v>
      </c>
      <c r="R22" s="26">
        <f t="shared" si="10"/>
        <v>0</v>
      </c>
      <c r="S22" s="26">
        <f t="shared" si="11"/>
        <v>0</v>
      </c>
      <c r="T22" s="26">
        <f t="shared" si="11"/>
        <v>0</v>
      </c>
      <c r="U22" s="42">
        <f t="shared" si="12"/>
        <v>0</v>
      </c>
    </row>
    <row r="23" spans="1:21" ht="19.95" customHeight="1" x14ac:dyDescent="0.3">
      <c r="A23" s="52"/>
      <c r="B23" s="24"/>
      <c r="C23" s="24">
        <v>64025</v>
      </c>
      <c r="D23" s="25" t="s">
        <v>56</v>
      </c>
      <c r="E23" s="43"/>
      <c r="F23" s="27"/>
      <c r="G23" s="27"/>
      <c r="H23" s="44"/>
      <c r="I23" s="49">
        <f>H23*Subsector!$S$11</f>
        <v>0</v>
      </c>
      <c r="J23" s="26">
        <f>H23*Subsector!$S$12</f>
        <v>0</v>
      </c>
      <c r="K23" s="26">
        <f>H23*Subsector!$S$13</f>
        <v>0</v>
      </c>
      <c r="L23" s="26">
        <f>H23*Subsector!$S$15</f>
        <v>0</v>
      </c>
      <c r="M23" s="26">
        <f>H23*Subsector!$S$16</f>
        <v>0</v>
      </c>
      <c r="N23" s="66">
        <f>H23*Subsector!$S$17</f>
        <v>0</v>
      </c>
      <c r="O23" s="41">
        <f t="shared" si="8"/>
        <v>0</v>
      </c>
      <c r="P23" s="26">
        <f t="shared" si="8"/>
        <v>0</v>
      </c>
      <c r="Q23" s="26">
        <f t="shared" si="9"/>
        <v>0</v>
      </c>
      <c r="R23" s="26">
        <f t="shared" si="10"/>
        <v>0</v>
      </c>
      <c r="S23" s="26">
        <f t="shared" si="11"/>
        <v>0</v>
      </c>
      <c r="T23" s="26">
        <f t="shared" si="11"/>
        <v>0</v>
      </c>
      <c r="U23" s="42">
        <f t="shared" si="12"/>
        <v>0</v>
      </c>
    </row>
    <row r="24" spans="1:21" ht="19.95" customHeight="1" x14ac:dyDescent="0.3">
      <c r="A24" s="52"/>
      <c r="B24" s="24"/>
      <c r="C24" s="24">
        <v>64026</v>
      </c>
      <c r="D24" s="25" t="s">
        <v>57</v>
      </c>
      <c r="E24" s="43">
        <v>0</v>
      </c>
      <c r="F24" s="27">
        <v>451.8</v>
      </c>
      <c r="G24" s="27">
        <v>0</v>
      </c>
      <c r="H24" s="44">
        <v>21.6</v>
      </c>
      <c r="I24" s="49">
        <f>H24*Subsector!$S$11</f>
        <v>7.6575593313936055E-2</v>
      </c>
      <c r="J24" s="26">
        <f>H24*Subsector!$S$12</f>
        <v>13.001196656447073</v>
      </c>
      <c r="K24" s="26">
        <f>H24*Subsector!$S$13</f>
        <v>8.1481832650435138</v>
      </c>
      <c r="L24" s="26">
        <f>H24*Subsector!$S$15</f>
        <v>0.27119350460923719</v>
      </c>
      <c r="M24" s="26">
        <f>H24*Subsector!$S$16</f>
        <v>0</v>
      </c>
      <c r="N24" s="66">
        <f>H24*Subsector!$S$17</f>
        <v>0.10285098058624181</v>
      </c>
      <c r="O24" s="41">
        <f t="shared" si="8"/>
        <v>0.1</v>
      </c>
      <c r="P24" s="26">
        <f t="shared" si="8"/>
        <v>464.90000000000003</v>
      </c>
      <c r="Q24" s="26">
        <f t="shared" si="9"/>
        <v>8.1999999999999993</v>
      </c>
      <c r="R24" s="26">
        <f t="shared" si="10"/>
        <v>0.30000000000000004</v>
      </c>
      <c r="S24" s="26">
        <f t="shared" si="11"/>
        <v>0</v>
      </c>
      <c r="T24" s="26">
        <f t="shared" si="11"/>
        <v>0.2</v>
      </c>
      <c r="U24" s="42">
        <f t="shared" si="12"/>
        <v>473.70000000000005</v>
      </c>
    </row>
    <row r="25" spans="1:21" ht="19.95" hidden="1" customHeight="1" x14ac:dyDescent="0.3">
      <c r="A25" s="52"/>
      <c r="B25" s="24"/>
      <c r="C25" s="24">
        <v>64027</v>
      </c>
      <c r="D25" s="25" t="s">
        <v>58</v>
      </c>
      <c r="E25" s="43"/>
      <c r="F25" s="27"/>
      <c r="G25" s="27"/>
      <c r="H25" s="44"/>
      <c r="I25" s="49">
        <f>H25*Subsector!$S$11</f>
        <v>0</v>
      </c>
      <c r="J25" s="26">
        <f>H25*Subsector!$S$12</f>
        <v>0</v>
      </c>
      <c r="K25" s="26">
        <f>H25*Subsector!$S$13</f>
        <v>0</v>
      </c>
      <c r="L25" s="26">
        <f>H25*Subsector!$S$15</f>
        <v>0</v>
      </c>
      <c r="M25" s="26">
        <f>H25*Subsector!$S$16</f>
        <v>0</v>
      </c>
      <c r="N25" s="66">
        <f>H25*Subsector!$S$17</f>
        <v>0</v>
      </c>
      <c r="O25" s="41">
        <f t="shared" si="8"/>
        <v>0</v>
      </c>
      <c r="P25" s="26">
        <f t="shared" si="8"/>
        <v>0</v>
      </c>
      <c r="Q25" s="26">
        <f t="shared" si="9"/>
        <v>0</v>
      </c>
      <c r="R25" s="26">
        <f t="shared" si="10"/>
        <v>0</v>
      </c>
      <c r="S25" s="26">
        <f t="shared" si="11"/>
        <v>0</v>
      </c>
      <c r="T25" s="26">
        <f t="shared" si="11"/>
        <v>0</v>
      </c>
      <c r="U25" s="42">
        <f t="shared" si="12"/>
        <v>0</v>
      </c>
    </row>
    <row r="26" spans="1:21" ht="19.95" hidden="1" customHeight="1" x14ac:dyDescent="0.3">
      <c r="A26" s="52"/>
      <c r="B26" s="24"/>
      <c r="C26" s="24">
        <v>64028</v>
      </c>
      <c r="D26" s="25" t="s">
        <v>59</v>
      </c>
      <c r="E26" s="43"/>
      <c r="F26" s="27"/>
      <c r="G26" s="27"/>
      <c r="H26" s="44"/>
      <c r="I26" s="49">
        <f>H26*Subsector!$S$11</f>
        <v>0</v>
      </c>
      <c r="J26" s="26">
        <f>H26*Subsector!$S$12</f>
        <v>0</v>
      </c>
      <c r="K26" s="26">
        <f>H26*Subsector!$S$13</f>
        <v>0</v>
      </c>
      <c r="L26" s="26">
        <f>H26*Subsector!$S$15</f>
        <v>0</v>
      </c>
      <c r="M26" s="26">
        <f>H26*Subsector!$S$16</f>
        <v>0</v>
      </c>
      <c r="N26" s="66">
        <f>H26*Subsector!$S$17</f>
        <v>0</v>
      </c>
      <c r="O26" s="41">
        <f t="shared" si="8"/>
        <v>0</v>
      </c>
      <c r="P26" s="26">
        <f t="shared" si="8"/>
        <v>0</v>
      </c>
      <c r="Q26" s="26">
        <f t="shared" si="9"/>
        <v>0</v>
      </c>
      <c r="R26" s="26">
        <f t="shared" si="10"/>
        <v>0</v>
      </c>
      <c r="S26" s="26">
        <f t="shared" si="11"/>
        <v>0</v>
      </c>
      <c r="T26" s="26">
        <f t="shared" si="11"/>
        <v>0</v>
      </c>
      <c r="U26" s="42">
        <f t="shared" si="12"/>
        <v>0</v>
      </c>
    </row>
    <row r="27" spans="1:21" ht="19.95" hidden="1" customHeight="1" x14ac:dyDescent="0.3">
      <c r="A27" s="51"/>
      <c r="B27" s="23">
        <v>6403</v>
      </c>
      <c r="C27" s="23"/>
      <c r="D27" s="21" t="s">
        <v>60</v>
      </c>
      <c r="E27" s="39">
        <f>SUM(E28:E32)</f>
        <v>0</v>
      </c>
      <c r="F27" s="22">
        <f t="shared" ref="F27:U27" si="13">SUM(F28:F32)</f>
        <v>0</v>
      </c>
      <c r="G27" s="22">
        <f t="shared" si="13"/>
        <v>0</v>
      </c>
      <c r="H27" s="40">
        <f t="shared" si="13"/>
        <v>0</v>
      </c>
      <c r="I27" s="36">
        <f t="shared" si="13"/>
        <v>0</v>
      </c>
      <c r="J27" s="22">
        <f t="shared" si="13"/>
        <v>0</v>
      </c>
      <c r="K27" s="22">
        <f t="shared" si="13"/>
        <v>0</v>
      </c>
      <c r="L27" s="22">
        <f t="shared" si="13"/>
        <v>0</v>
      </c>
      <c r="M27" s="22">
        <f t="shared" si="13"/>
        <v>0</v>
      </c>
      <c r="N27" s="65">
        <f t="shared" si="13"/>
        <v>0</v>
      </c>
      <c r="O27" s="39">
        <f t="shared" si="13"/>
        <v>0</v>
      </c>
      <c r="P27" s="22">
        <f t="shared" si="13"/>
        <v>0</v>
      </c>
      <c r="Q27" s="22">
        <f t="shared" si="13"/>
        <v>0</v>
      </c>
      <c r="R27" s="22">
        <f t="shared" si="13"/>
        <v>0</v>
      </c>
      <c r="S27" s="22">
        <f t="shared" si="13"/>
        <v>0</v>
      </c>
      <c r="T27" s="22">
        <f t="shared" si="13"/>
        <v>0</v>
      </c>
      <c r="U27" s="40">
        <f t="shared" si="13"/>
        <v>0</v>
      </c>
    </row>
    <row r="28" spans="1:21" ht="19.95" hidden="1" customHeight="1" x14ac:dyDescent="0.3">
      <c r="A28" s="52"/>
      <c r="B28" s="24"/>
      <c r="C28" s="24">
        <v>64033</v>
      </c>
      <c r="D28" s="25" t="s">
        <v>61</v>
      </c>
      <c r="E28" s="43"/>
      <c r="F28" s="27"/>
      <c r="G28" s="27"/>
      <c r="H28" s="44"/>
      <c r="I28" s="49">
        <f>H28*Subsector!$S$11</f>
        <v>0</v>
      </c>
      <c r="J28" s="26">
        <f>H28*Subsector!$S$12</f>
        <v>0</v>
      </c>
      <c r="K28" s="26">
        <f>H28*Subsector!$S$13</f>
        <v>0</v>
      </c>
      <c r="L28" s="26">
        <f>H28*Subsector!$S$15</f>
        <v>0</v>
      </c>
      <c r="M28" s="26">
        <f>H28*Subsector!$S$16</f>
        <v>0</v>
      </c>
      <c r="N28" s="66">
        <f>H28*Subsector!$S$17</f>
        <v>0</v>
      </c>
      <c r="O28" s="41">
        <f t="shared" ref="O28:P32" si="14">ROUNDUP(SUM(E28,I28),1)</f>
        <v>0</v>
      </c>
      <c r="P28" s="26">
        <f t="shared" si="14"/>
        <v>0</v>
      </c>
      <c r="Q28" s="26">
        <f>ROUNDUP(SUM(K28),1)</f>
        <v>0</v>
      </c>
      <c r="R28" s="26">
        <f>ROUNDUP(SUM(G28,L28),1)</f>
        <v>0</v>
      </c>
      <c r="S28" s="26">
        <f t="shared" ref="S28:T32" si="15">ROUNDUP(SUM(M28),1)</f>
        <v>0</v>
      </c>
      <c r="T28" s="26">
        <f t="shared" si="15"/>
        <v>0</v>
      </c>
      <c r="U28" s="42">
        <f>SUM(O28:T28)</f>
        <v>0</v>
      </c>
    </row>
    <row r="29" spans="1:21" ht="19.95" hidden="1" customHeight="1" x14ac:dyDescent="0.3">
      <c r="A29" s="52"/>
      <c r="B29" s="24"/>
      <c r="C29" s="24">
        <v>64034</v>
      </c>
      <c r="D29" s="25" t="s">
        <v>62</v>
      </c>
      <c r="E29" s="43"/>
      <c r="F29" s="27"/>
      <c r="G29" s="27"/>
      <c r="H29" s="44"/>
      <c r="I29" s="49">
        <f>H29*Subsector!$S$11</f>
        <v>0</v>
      </c>
      <c r="J29" s="26">
        <f>H29*Subsector!$S$12</f>
        <v>0</v>
      </c>
      <c r="K29" s="26">
        <f>H29*Subsector!$S$13</f>
        <v>0</v>
      </c>
      <c r="L29" s="26">
        <f>H29*Subsector!$S$15</f>
        <v>0</v>
      </c>
      <c r="M29" s="26">
        <f>H29*Subsector!$S$16</f>
        <v>0</v>
      </c>
      <c r="N29" s="66">
        <f>H29*Subsector!$S$17</f>
        <v>0</v>
      </c>
      <c r="O29" s="41">
        <f t="shared" si="14"/>
        <v>0</v>
      </c>
      <c r="P29" s="26">
        <f t="shared" si="14"/>
        <v>0</v>
      </c>
      <c r="Q29" s="26">
        <f>ROUNDUP(SUM(K29),1)</f>
        <v>0</v>
      </c>
      <c r="R29" s="26">
        <f>ROUNDUP(SUM(G29,L29),1)</f>
        <v>0</v>
      </c>
      <c r="S29" s="26">
        <f t="shared" si="15"/>
        <v>0</v>
      </c>
      <c r="T29" s="26">
        <f t="shared" si="15"/>
        <v>0</v>
      </c>
      <c r="U29" s="42">
        <f>SUM(O29:T29)</f>
        <v>0</v>
      </c>
    </row>
    <row r="30" spans="1:21" ht="19.95" hidden="1" customHeight="1" x14ac:dyDescent="0.3">
      <c r="A30" s="52"/>
      <c r="B30" s="24"/>
      <c r="C30" s="24">
        <v>64035</v>
      </c>
      <c r="D30" s="25" t="s">
        <v>63</v>
      </c>
      <c r="E30" s="43"/>
      <c r="F30" s="27"/>
      <c r="G30" s="27"/>
      <c r="H30" s="44"/>
      <c r="I30" s="49">
        <f>H30*Subsector!$S$11</f>
        <v>0</v>
      </c>
      <c r="J30" s="26">
        <f>H30*Subsector!$S$12</f>
        <v>0</v>
      </c>
      <c r="K30" s="26">
        <f>H30*Subsector!$S$13</f>
        <v>0</v>
      </c>
      <c r="L30" s="26">
        <f>H30*Subsector!$S$15</f>
        <v>0</v>
      </c>
      <c r="M30" s="26">
        <f>H30*Subsector!$S$16</f>
        <v>0</v>
      </c>
      <c r="N30" s="66">
        <f>H30*Subsector!$S$17</f>
        <v>0</v>
      </c>
      <c r="O30" s="41">
        <f t="shared" si="14"/>
        <v>0</v>
      </c>
      <c r="P30" s="26">
        <f t="shared" si="14"/>
        <v>0</v>
      </c>
      <c r="Q30" s="26">
        <f>ROUNDUP(SUM(K30),1)</f>
        <v>0</v>
      </c>
      <c r="R30" s="26">
        <f>ROUNDUP(SUM(G30,L30),1)</f>
        <v>0</v>
      </c>
      <c r="S30" s="26">
        <f t="shared" si="15"/>
        <v>0</v>
      </c>
      <c r="T30" s="26">
        <f t="shared" si="15"/>
        <v>0</v>
      </c>
      <c r="U30" s="42">
        <f>SUM(O30:T30)</f>
        <v>0</v>
      </c>
    </row>
    <row r="31" spans="1:21" ht="19.95" hidden="1" customHeight="1" x14ac:dyDescent="0.3">
      <c r="A31" s="52"/>
      <c r="B31" s="24"/>
      <c r="C31" s="24">
        <v>64037</v>
      </c>
      <c r="D31" s="25" t="s">
        <v>64</v>
      </c>
      <c r="E31" s="43"/>
      <c r="F31" s="27"/>
      <c r="G31" s="27"/>
      <c r="H31" s="44"/>
      <c r="I31" s="49">
        <f>H31*Subsector!$S$11</f>
        <v>0</v>
      </c>
      <c r="J31" s="26">
        <f>H31*Subsector!$S$12</f>
        <v>0</v>
      </c>
      <c r="K31" s="26">
        <f>H31*Subsector!$S$13</f>
        <v>0</v>
      </c>
      <c r="L31" s="26">
        <f>H31*Subsector!$S$15</f>
        <v>0</v>
      </c>
      <c r="M31" s="26">
        <f>H31*Subsector!$S$16</f>
        <v>0</v>
      </c>
      <c r="N31" s="66">
        <f>H31*Subsector!$S$17</f>
        <v>0</v>
      </c>
      <c r="O31" s="41">
        <f t="shared" si="14"/>
        <v>0</v>
      </c>
      <c r="P31" s="26">
        <f t="shared" si="14"/>
        <v>0</v>
      </c>
      <c r="Q31" s="26">
        <f>ROUNDUP(SUM(K31),1)</f>
        <v>0</v>
      </c>
      <c r="R31" s="26">
        <f>ROUNDUP(SUM(G31,L31),1)</f>
        <v>0</v>
      </c>
      <c r="S31" s="26">
        <f t="shared" si="15"/>
        <v>0</v>
      </c>
      <c r="T31" s="26">
        <f t="shared" si="15"/>
        <v>0</v>
      </c>
      <c r="U31" s="42">
        <f>SUM(O31:T31)</f>
        <v>0</v>
      </c>
    </row>
    <row r="32" spans="1:21" ht="19.95" hidden="1" customHeight="1" x14ac:dyDescent="0.3">
      <c r="A32" s="52"/>
      <c r="B32" s="24"/>
      <c r="C32" s="24">
        <v>64038</v>
      </c>
      <c r="D32" s="25" t="s">
        <v>60</v>
      </c>
      <c r="E32" s="43"/>
      <c r="F32" s="27"/>
      <c r="G32" s="27"/>
      <c r="H32" s="44"/>
      <c r="I32" s="49">
        <f>H32*Subsector!$S$11</f>
        <v>0</v>
      </c>
      <c r="J32" s="26">
        <f>H32*Subsector!$S$12</f>
        <v>0</v>
      </c>
      <c r="K32" s="26">
        <f>H32*Subsector!$S$13</f>
        <v>0</v>
      </c>
      <c r="L32" s="26">
        <f>H32*Subsector!$S$15</f>
        <v>0</v>
      </c>
      <c r="M32" s="26">
        <f>H32*Subsector!$S$16</f>
        <v>0</v>
      </c>
      <c r="N32" s="66">
        <f>H32*Subsector!$S$17</f>
        <v>0</v>
      </c>
      <c r="O32" s="41">
        <f t="shared" si="14"/>
        <v>0</v>
      </c>
      <c r="P32" s="26">
        <f t="shared" si="14"/>
        <v>0</v>
      </c>
      <c r="Q32" s="26">
        <f>ROUNDUP(SUM(K32),1)</f>
        <v>0</v>
      </c>
      <c r="R32" s="26">
        <f>ROUNDUP(SUM(G32,L32),1)</f>
        <v>0</v>
      </c>
      <c r="S32" s="26">
        <f t="shared" si="15"/>
        <v>0</v>
      </c>
      <c r="T32" s="26">
        <f t="shared" si="15"/>
        <v>0</v>
      </c>
      <c r="U32" s="42">
        <f>SUM(O32:T32)</f>
        <v>0</v>
      </c>
    </row>
    <row r="33" spans="1:21" ht="19.95" customHeight="1" x14ac:dyDescent="0.3">
      <c r="A33" s="51"/>
      <c r="B33" s="23">
        <v>6404</v>
      </c>
      <c r="C33" s="23"/>
      <c r="D33" s="21" t="s">
        <v>65</v>
      </c>
      <c r="E33" s="39">
        <f>SUM(E34:E36)</f>
        <v>0</v>
      </c>
      <c r="F33" s="22">
        <f t="shared" ref="F33:U33" si="16">SUM(F34:F36)</f>
        <v>191.1</v>
      </c>
      <c r="G33" s="22">
        <f t="shared" si="16"/>
        <v>61.1</v>
      </c>
      <c r="H33" s="40">
        <f t="shared" si="16"/>
        <v>0</v>
      </c>
      <c r="I33" s="36">
        <f t="shared" si="16"/>
        <v>0</v>
      </c>
      <c r="J33" s="22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65">
        <f t="shared" si="16"/>
        <v>0</v>
      </c>
      <c r="O33" s="39">
        <f t="shared" si="16"/>
        <v>0</v>
      </c>
      <c r="P33" s="22">
        <f t="shared" si="16"/>
        <v>191.1</v>
      </c>
      <c r="Q33" s="22">
        <f t="shared" si="16"/>
        <v>0</v>
      </c>
      <c r="R33" s="22">
        <f t="shared" si="16"/>
        <v>61.1</v>
      </c>
      <c r="S33" s="22">
        <f t="shared" si="16"/>
        <v>0</v>
      </c>
      <c r="T33" s="22">
        <f t="shared" si="16"/>
        <v>0</v>
      </c>
      <c r="U33" s="40">
        <f t="shared" si="16"/>
        <v>252.2</v>
      </c>
    </row>
    <row r="34" spans="1:21" ht="19.95" customHeight="1" x14ac:dyDescent="0.3">
      <c r="A34" s="52"/>
      <c r="B34" s="24"/>
      <c r="C34" s="24">
        <v>64041</v>
      </c>
      <c r="D34" s="25" t="s">
        <v>66</v>
      </c>
      <c r="E34" s="43">
        <v>0</v>
      </c>
      <c r="F34" s="27">
        <v>191.1</v>
      </c>
      <c r="G34" s="27">
        <v>61.1</v>
      </c>
      <c r="H34" s="44">
        <v>0</v>
      </c>
      <c r="I34" s="49">
        <f>H34*Subsector!$S$11</f>
        <v>0</v>
      </c>
      <c r="J34" s="26">
        <f>H34*Subsector!$S$12</f>
        <v>0</v>
      </c>
      <c r="K34" s="26">
        <f>H34*Subsector!$S$13</f>
        <v>0</v>
      </c>
      <c r="L34" s="26">
        <f>H34*Subsector!$S$15</f>
        <v>0</v>
      </c>
      <c r="M34" s="26">
        <f>H34*Subsector!$S$16</f>
        <v>0</v>
      </c>
      <c r="N34" s="66">
        <f>H34*Subsector!$S$17</f>
        <v>0</v>
      </c>
      <c r="O34" s="41">
        <f t="shared" ref="O34:P36" si="17">ROUNDUP(SUM(E34,I34),1)</f>
        <v>0</v>
      </c>
      <c r="P34" s="26">
        <f t="shared" si="17"/>
        <v>191.1</v>
      </c>
      <c r="Q34" s="26">
        <f>ROUNDUP(SUM(K34),1)</f>
        <v>0</v>
      </c>
      <c r="R34" s="26">
        <f>ROUNDUP(SUM(G34,L34),1)</f>
        <v>61.1</v>
      </c>
      <c r="S34" s="26">
        <f t="shared" ref="S34:T36" si="18">ROUNDUP(SUM(M34),1)</f>
        <v>0</v>
      </c>
      <c r="T34" s="26">
        <f t="shared" si="18"/>
        <v>0</v>
      </c>
      <c r="U34" s="42">
        <f>SUM(O34:T34)</f>
        <v>252.2</v>
      </c>
    </row>
    <row r="35" spans="1:21" ht="19.95" customHeight="1" x14ac:dyDescent="0.3">
      <c r="A35" s="52"/>
      <c r="B35" s="24"/>
      <c r="C35" s="24">
        <v>64042</v>
      </c>
      <c r="D35" s="25" t="s">
        <v>67</v>
      </c>
      <c r="E35" s="43"/>
      <c r="F35" s="27"/>
      <c r="G35" s="27"/>
      <c r="H35" s="44"/>
      <c r="I35" s="49">
        <f>H35*Subsector!$S$11</f>
        <v>0</v>
      </c>
      <c r="J35" s="26">
        <f>H35*Subsector!$S$12</f>
        <v>0</v>
      </c>
      <c r="K35" s="26">
        <f>H35*Subsector!$S$13</f>
        <v>0</v>
      </c>
      <c r="L35" s="26">
        <f>H35*Subsector!$S$15</f>
        <v>0</v>
      </c>
      <c r="M35" s="26">
        <f>H35*Subsector!$S$16</f>
        <v>0</v>
      </c>
      <c r="N35" s="66">
        <f>H35*Subsector!$S$17</f>
        <v>0</v>
      </c>
      <c r="O35" s="41">
        <f t="shared" si="17"/>
        <v>0</v>
      </c>
      <c r="P35" s="26">
        <f t="shared" si="17"/>
        <v>0</v>
      </c>
      <c r="Q35" s="26">
        <f>ROUNDUP(SUM(K35),1)</f>
        <v>0</v>
      </c>
      <c r="R35" s="26">
        <f>ROUNDUP(SUM(G35,L35),1)</f>
        <v>0</v>
      </c>
      <c r="S35" s="26">
        <f t="shared" si="18"/>
        <v>0</v>
      </c>
      <c r="T35" s="26">
        <f t="shared" si="18"/>
        <v>0</v>
      </c>
      <c r="U35" s="42">
        <f>SUM(O35:T35)</f>
        <v>0</v>
      </c>
    </row>
    <row r="36" spans="1:21" ht="19.95" customHeight="1" x14ac:dyDescent="0.3">
      <c r="A36" s="53"/>
      <c r="B36" s="23"/>
      <c r="C36" s="24">
        <v>64048</v>
      </c>
      <c r="D36" s="25" t="s">
        <v>68</v>
      </c>
      <c r="E36" s="43"/>
      <c r="F36" s="27"/>
      <c r="G36" s="27"/>
      <c r="H36" s="44"/>
      <c r="I36" s="49">
        <f>H36*Subsector!$S$11</f>
        <v>0</v>
      </c>
      <c r="J36" s="26">
        <f>H36*Subsector!$S$12</f>
        <v>0</v>
      </c>
      <c r="K36" s="26">
        <f>H36*Subsector!$S$13</f>
        <v>0</v>
      </c>
      <c r="L36" s="26">
        <f>H36*Subsector!$S$15</f>
        <v>0</v>
      </c>
      <c r="M36" s="26">
        <f>H36*Subsector!$S$16</f>
        <v>0</v>
      </c>
      <c r="N36" s="66">
        <f>H36*Subsector!$S$17</f>
        <v>0</v>
      </c>
      <c r="O36" s="41">
        <f t="shared" si="17"/>
        <v>0</v>
      </c>
      <c r="P36" s="26">
        <f t="shared" si="17"/>
        <v>0</v>
      </c>
      <c r="Q36" s="26">
        <f>ROUNDUP(SUM(K36),1)</f>
        <v>0</v>
      </c>
      <c r="R36" s="26">
        <f>ROUNDUP(SUM(G36,L36),1)</f>
        <v>0</v>
      </c>
      <c r="S36" s="26">
        <f t="shared" si="18"/>
        <v>0</v>
      </c>
      <c r="T36" s="26">
        <f t="shared" si="18"/>
        <v>0</v>
      </c>
      <c r="U36" s="42">
        <f>SUM(O36:T36)</f>
        <v>0</v>
      </c>
    </row>
    <row r="37" spans="1:21" ht="19.95" customHeight="1" x14ac:dyDescent="0.3">
      <c r="A37" s="54"/>
      <c r="B37" s="23">
        <v>6405</v>
      </c>
      <c r="C37" s="23"/>
      <c r="D37" s="21" t="s">
        <v>69</v>
      </c>
      <c r="E37" s="39">
        <f>SUM(E38:E44)</f>
        <v>0</v>
      </c>
      <c r="F37" s="22">
        <f t="shared" ref="F37:U37" si="19">SUM(F38:F44)</f>
        <v>26.799999999999997</v>
      </c>
      <c r="G37" s="22">
        <f t="shared" si="19"/>
        <v>0</v>
      </c>
      <c r="H37" s="40">
        <f t="shared" si="19"/>
        <v>0</v>
      </c>
      <c r="I37" s="36">
        <f t="shared" si="19"/>
        <v>0</v>
      </c>
      <c r="J37" s="22">
        <f t="shared" si="19"/>
        <v>0</v>
      </c>
      <c r="K37" s="22">
        <f t="shared" si="19"/>
        <v>0</v>
      </c>
      <c r="L37" s="22">
        <f t="shared" si="19"/>
        <v>0</v>
      </c>
      <c r="M37" s="22">
        <f t="shared" si="19"/>
        <v>0</v>
      </c>
      <c r="N37" s="65">
        <f t="shared" si="19"/>
        <v>0</v>
      </c>
      <c r="O37" s="39">
        <f t="shared" si="19"/>
        <v>0</v>
      </c>
      <c r="P37" s="22">
        <f t="shared" si="19"/>
        <v>26.8</v>
      </c>
      <c r="Q37" s="22">
        <f t="shared" si="19"/>
        <v>0</v>
      </c>
      <c r="R37" s="22">
        <f t="shared" si="19"/>
        <v>0</v>
      </c>
      <c r="S37" s="22">
        <f t="shared" si="19"/>
        <v>0</v>
      </c>
      <c r="T37" s="22">
        <f t="shared" si="19"/>
        <v>0</v>
      </c>
      <c r="U37" s="40">
        <f t="shared" si="19"/>
        <v>26.8</v>
      </c>
    </row>
    <row r="38" spans="1:21" ht="19.95" customHeight="1" x14ac:dyDescent="0.3">
      <c r="A38" s="55"/>
      <c r="B38" s="23"/>
      <c r="C38" s="24">
        <v>64051</v>
      </c>
      <c r="D38" s="25" t="s">
        <v>70</v>
      </c>
      <c r="E38" s="43"/>
      <c r="F38" s="27"/>
      <c r="G38" s="27"/>
      <c r="H38" s="44"/>
      <c r="I38" s="49">
        <f>H38*Subsector!$S$11</f>
        <v>0</v>
      </c>
      <c r="J38" s="26">
        <f>H38*Subsector!$S$12</f>
        <v>0</v>
      </c>
      <c r="K38" s="26">
        <f>H38*Subsector!$S$13</f>
        <v>0</v>
      </c>
      <c r="L38" s="26">
        <f>H38*Subsector!$S$15</f>
        <v>0</v>
      </c>
      <c r="M38" s="26">
        <f>H38*Subsector!$S$16</f>
        <v>0</v>
      </c>
      <c r="N38" s="66">
        <f>H38*Subsector!$S$17</f>
        <v>0</v>
      </c>
      <c r="O38" s="41">
        <f t="shared" ref="O38:P44" si="20">ROUNDUP(SUM(E38,I38),1)</f>
        <v>0</v>
      </c>
      <c r="P38" s="26">
        <f t="shared" si="20"/>
        <v>0</v>
      </c>
      <c r="Q38" s="26">
        <f t="shared" ref="Q38:Q44" si="21">ROUNDUP(SUM(K38),1)</f>
        <v>0</v>
      </c>
      <c r="R38" s="26">
        <f t="shared" ref="R38:R44" si="22">ROUNDUP(SUM(G38,L38),1)</f>
        <v>0</v>
      </c>
      <c r="S38" s="26">
        <f t="shared" ref="S38:T44" si="23">ROUNDUP(SUM(M38),1)</f>
        <v>0</v>
      </c>
      <c r="T38" s="26">
        <f t="shared" si="23"/>
        <v>0</v>
      </c>
      <c r="U38" s="42">
        <f t="shared" ref="U38:U44" si="24">SUM(O38:T38)</f>
        <v>0</v>
      </c>
    </row>
    <row r="39" spans="1:21" ht="19.95" customHeight="1" x14ac:dyDescent="0.3">
      <c r="A39" s="55"/>
      <c r="B39" s="24"/>
      <c r="C39" s="24">
        <v>64052</v>
      </c>
      <c r="D39" s="25" t="s">
        <v>71</v>
      </c>
      <c r="E39" s="43"/>
      <c r="F39" s="27">
        <v>12</v>
      </c>
      <c r="G39" s="27">
        <v>0</v>
      </c>
      <c r="H39" s="44">
        <v>0</v>
      </c>
      <c r="I39" s="49">
        <f>H39*Subsector!$S$11</f>
        <v>0</v>
      </c>
      <c r="J39" s="26">
        <f>H39*Subsector!$S$12</f>
        <v>0</v>
      </c>
      <c r="K39" s="26">
        <f>H39*Subsector!$S$13</f>
        <v>0</v>
      </c>
      <c r="L39" s="26">
        <f>H39*Subsector!$S$15</f>
        <v>0</v>
      </c>
      <c r="M39" s="26">
        <f>H39*Subsector!$S$16</f>
        <v>0</v>
      </c>
      <c r="N39" s="66">
        <f>H39*Subsector!$S$17</f>
        <v>0</v>
      </c>
      <c r="O39" s="41">
        <f t="shared" si="20"/>
        <v>0</v>
      </c>
      <c r="P39" s="26">
        <f t="shared" si="20"/>
        <v>12</v>
      </c>
      <c r="Q39" s="26">
        <f t="shared" si="21"/>
        <v>0</v>
      </c>
      <c r="R39" s="26">
        <f t="shared" si="22"/>
        <v>0</v>
      </c>
      <c r="S39" s="26">
        <f t="shared" si="23"/>
        <v>0</v>
      </c>
      <c r="T39" s="26">
        <f t="shared" si="23"/>
        <v>0</v>
      </c>
      <c r="U39" s="42">
        <f t="shared" si="24"/>
        <v>12</v>
      </c>
    </row>
    <row r="40" spans="1:21" ht="19.95" customHeight="1" x14ac:dyDescent="0.3">
      <c r="A40" s="55"/>
      <c r="B40" s="24"/>
      <c r="C40" s="24">
        <v>64053</v>
      </c>
      <c r="D40" s="25" t="s">
        <v>72</v>
      </c>
      <c r="E40" s="43"/>
      <c r="F40" s="27">
        <v>14.799999999999999</v>
      </c>
      <c r="G40" s="27">
        <v>0</v>
      </c>
      <c r="H40" s="44">
        <v>0</v>
      </c>
      <c r="I40" s="49">
        <f>H40*Subsector!$S$11</f>
        <v>0</v>
      </c>
      <c r="J40" s="26">
        <f>H40*Subsector!$S$12</f>
        <v>0</v>
      </c>
      <c r="K40" s="26">
        <f>H40*Subsector!$S$13</f>
        <v>0</v>
      </c>
      <c r="L40" s="26">
        <f>H40*Subsector!$S$15</f>
        <v>0</v>
      </c>
      <c r="M40" s="26">
        <f>H40*Subsector!$S$16</f>
        <v>0</v>
      </c>
      <c r="N40" s="66">
        <f>H40*Subsector!$S$17</f>
        <v>0</v>
      </c>
      <c r="O40" s="41">
        <f t="shared" si="20"/>
        <v>0</v>
      </c>
      <c r="P40" s="26">
        <f t="shared" si="20"/>
        <v>14.8</v>
      </c>
      <c r="Q40" s="26">
        <f t="shared" si="21"/>
        <v>0</v>
      </c>
      <c r="R40" s="26">
        <f t="shared" si="22"/>
        <v>0</v>
      </c>
      <c r="S40" s="26">
        <f t="shared" si="23"/>
        <v>0</v>
      </c>
      <c r="T40" s="26">
        <f t="shared" si="23"/>
        <v>0</v>
      </c>
      <c r="U40" s="42">
        <f t="shared" si="24"/>
        <v>14.8</v>
      </c>
    </row>
    <row r="41" spans="1:21" ht="19.95" customHeight="1" x14ac:dyDescent="0.3">
      <c r="A41" s="55"/>
      <c r="B41" s="24"/>
      <c r="C41" s="24">
        <v>64054</v>
      </c>
      <c r="D41" s="25" t="s">
        <v>73</v>
      </c>
      <c r="E41" s="43"/>
      <c r="F41" s="27">
        <v>0</v>
      </c>
      <c r="G41" s="27">
        <v>0</v>
      </c>
      <c r="H41" s="44">
        <v>0</v>
      </c>
      <c r="I41" s="49">
        <f>H41*Subsector!$S$11</f>
        <v>0</v>
      </c>
      <c r="J41" s="26">
        <f>H41*Subsector!$S$12</f>
        <v>0</v>
      </c>
      <c r="K41" s="26">
        <f>H41*Subsector!$S$13</f>
        <v>0</v>
      </c>
      <c r="L41" s="26">
        <f>H41*Subsector!$S$15</f>
        <v>0</v>
      </c>
      <c r="M41" s="26">
        <f>H41*Subsector!$S$16</f>
        <v>0</v>
      </c>
      <c r="N41" s="66">
        <f>H41*Subsector!$S$17</f>
        <v>0</v>
      </c>
      <c r="O41" s="41">
        <f t="shared" si="20"/>
        <v>0</v>
      </c>
      <c r="P41" s="26">
        <f t="shared" si="20"/>
        <v>0</v>
      </c>
      <c r="Q41" s="26">
        <f t="shared" si="21"/>
        <v>0</v>
      </c>
      <c r="R41" s="26">
        <f t="shared" si="22"/>
        <v>0</v>
      </c>
      <c r="S41" s="26">
        <f t="shared" si="23"/>
        <v>0</v>
      </c>
      <c r="T41" s="26">
        <f t="shared" si="23"/>
        <v>0</v>
      </c>
      <c r="U41" s="42">
        <f t="shared" si="24"/>
        <v>0</v>
      </c>
    </row>
    <row r="42" spans="1:21" ht="19.95" hidden="1" customHeight="1" x14ac:dyDescent="0.3">
      <c r="A42" s="55"/>
      <c r="B42" s="24"/>
      <c r="C42" s="24">
        <v>64055</v>
      </c>
      <c r="D42" s="25" t="s">
        <v>74</v>
      </c>
      <c r="E42" s="43"/>
      <c r="F42" s="27"/>
      <c r="G42" s="27"/>
      <c r="H42" s="44"/>
      <c r="I42" s="49">
        <f>H42*Subsector!$S$11</f>
        <v>0</v>
      </c>
      <c r="J42" s="26">
        <f>H42*Subsector!$S$12</f>
        <v>0</v>
      </c>
      <c r="K42" s="26">
        <f>H42*Subsector!$S$13</f>
        <v>0</v>
      </c>
      <c r="L42" s="26">
        <f>H42*Subsector!$S$15</f>
        <v>0</v>
      </c>
      <c r="M42" s="26">
        <f>H42*Subsector!$S$16</f>
        <v>0</v>
      </c>
      <c r="N42" s="66">
        <f>H42*Subsector!$S$17</f>
        <v>0</v>
      </c>
      <c r="O42" s="41">
        <f t="shared" si="20"/>
        <v>0</v>
      </c>
      <c r="P42" s="26">
        <f t="shared" si="20"/>
        <v>0</v>
      </c>
      <c r="Q42" s="26">
        <f t="shared" si="21"/>
        <v>0</v>
      </c>
      <c r="R42" s="26">
        <f t="shared" si="22"/>
        <v>0</v>
      </c>
      <c r="S42" s="26">
        <f t="shared" si="23"/>
        <v>0</v>
      </c>
      <c r="T42" s="26">
        <f t="shared" si="23"/>
        <v>0</v>
      </c>
      <c r="U42" s="42">
        <f t="shared" si="24"/>
        <v>0</v>
      </c>
    </row>
    <row r="43" spans="1:21" ht="19.95" hidden="1" customHeight="1" x14ac:dyDescent="0.3">
      <c r="A43" s="55"/>
      <c r="B43" s="24"/>
      <c r="C43" s="24">
        <v>64056</v>
      </c>
      <c r="D43" s="25" t="s">
        <v>75</v>
      </c>
      <c r="E43" s="43"/>
      <c r="F43" s="27"/>
      <c r="G43" s="27"/>
      <c r="H43" s="44"/>
      <c r="I43" s="49">
        <f>H43*Subsector!$S$11</f>
        <v>0</v>
      </c>
      <c r="J43" s="26">
        <f>H43*Subsector!$S$12</f>
        <v>0</v>
      </c>
      <c r="K43" s="26">
        <f>H43*Subsector!$S$13</f>
        <v>0</v>
      </c>
      <c r="L43" s="26">
        <f>H43*Subsector!$S$15</f>
        <v>0</v>
      </c>
      <c r="M43" s="26">
        <f>H43*Subsector!$S$16</f>
        <v>0</v>
      </c>
      <c r="N43" s="66">
        <f>H43*Subsector!$S$17</f>
        <v>0</v>
      </c>
      <c r="O43" s="41">
        <f t="shared" si="20"/>
        <v>0</v>
      </c>
      <c r="P43" s="26">
        <f t="shared" si="20"/>
        <v>0</v>
      </c>
      <c r="Q43" s="26">
        <f t="shared" si="21"/>
        <v>0</v>
      </c>
      <c r="R43" s="26">
        <f t="shared" si="22"/>
        <v>0</v>
      </c>
      <c r="S43" s="26">
        <f t="shared" si="23"/>
        <v>0</v>
      </c>
      <c r="T43" s="26">
        <f t="shared" si="23"/>
        <v>0</v>
      </c>
      <c r="U43" s="42">
        <f t="shared" si="24"/>
        <v>0</v>
      </c>
    </row>
    <row r="44" spans="1:21" ht="19.95" hidden="1" customHeight="1" x14ac:dyDescent="0.3">
      <c r="A44" s="55"/>
      <c r="B44" s="24"/>
      <c r="C44" s="24">
        <v>64058</v>
      </c>
      <c r="D44" s="25" t="s">
        <v>76</v>
      </c>
      <c r="E44" s="43"/>
      <c r="F44" s="27"/>
      <c r="G44" s="27"/>
      <c r="H44" s="44"/>
      <c r="I44" s="49">
        <f>H44*Subsector!$S$11</f>
        <v>0</v>
      </c>
      <c r="J44" s="26">
        <f>H44*Subsector!$S$12</f>
        <v>0</v>
      </c>
      <c r="K44" s="26">
        <f>H44*Subsector!$S$13</f>
        <v>0</v>
      </c>
      <c r="L44" s="26">
        <f>H44*Subsector!$S$15</f>
        <v>0</v>
      </c>
      <c r="M44" s="26">
        <f>H44*Subsector!$S$16</f>
        <v>0</v>
      </c>
      <c r="N44" s="66">
        <f>H44*Subsector!$S$17</f>
        <v>0</v>
      </c>
      <c r="O44" s="41">
        <f t="shared" si="20"/>
        <v>0</v>
      </c>
      <c r="P44" s="26">
        <f t="shared" si="20"/>
        <v>0</v>
      </c>
      <c r="Q44" s="26">
        <f t="shared" si="21"/>
        <v>0</v>
      </c>
      <c r="R44" s="26">
        <f t="shared" si="22"/>
        <v>0</v>
      </c>
      <c r="S44" s="26">
        <f t="shared" si="23"/>
        <v>0</v>
      </c>
      <c r="T44" s="26">
        <f t="shared" si="23"/>
        <v>0</v>
      </c>
      <c r="U44" s="42">
        <f t="shared" si="24"/>
        <v>0</v>
      </c>
    </row>
    <row r="45" spans="1:21" ht="19.95" customHeight="1" x14ac:dyDescent="0.3">
      <c r="A45" s="54"/>
      <c r="B45" s="28">
        <v>6406</v>
      </c>
      <c r="C45" s="23"/>
      <c r="D45" s="21" t="s">
        <v>77</v>
      </c>
      <c r="E45" s="39">
        <f>SUM(E46:E49)</f>
        <v>0</v>
      </c>
      <c r="F45" s="22">
        <f t="shared" ref="F45:U45" si="25">SUM(F46:F49)</f>
        <v>29</v>
      </c>
      <c r="G45" s="22">
        <f t="shared" si="25"/>
        <v>0</v>
      </c>
      <c r="H45" s="40">
        <f t="shared" si="25"/>
        <v>3.4000000000000004</v>
      </c>
      <c r="I45" s="36">
        <f t="shared" si="25"/>
        <v>1.2053565614230674E-2</v>
      </c>
      <c r="J45" s="22">
        <f t="shared" si="25"/>
        <v>2.0464846588851873</v>
      </c>
      <c r="K45" s="22">
        <f t="shared" si="25"/>
        <v>1.2825844028309235</v>
      </c>
      <c r="L45" s="22">
        <f t="shared" si="25"/>
        <v>4.268786646626882E-2</v>
      </c>
      <c r="M45" s="22">
        <f t="shared" si="25"/>
        <v>0</v>
      </c>
      <c r="N45" s="65">
        <f t="shared" si="25"/>
        <v>1.6189506203389915E-2</v>
      </c>
      <c r="O45" s="39">
        <f t="shared" si="25"/>
        <v>0.2</v>
      </c>
      <c r="P45" s="22">
        <f t="shared" si="25"/>
        <v>31.2</v>
      </c>
      <c r="Q45" s="22">
        <f t="shared" si="25"/>
        <v>1.4</v>
      </c>
      <c r="R45" s="22">
        <f t="shared" si="25"/>
        <v>0.2</v>
      </c>
      <c r="S45" s="22">
        <f t="shared" si="25"/>
        <v>0</v>
      </c>
      <c r="T45" s="22">
        <f t="shared" si="25"/>
        <v>0.2</v>
      </c>
      <c r="U45" s="40">
        <f t="shared" si="25"/>
        <v>33.200000000000003</v>
      </c>
    </row>
    <row r="46" spans="1:21" ht="19.95" customHeight="1" x14ac:dyDescent="0.3">
      <c r="A46" s="55"/>
      <c r="B46" s="28"/>
      <c r="C46" s="24">
        <v>64061</v>
      </c>
      <c r="D46" s="25" t="s">
        <v>78</v>
      </c>
      <c r="E46" s="43"/>
      <c r="F46" s="27">
        <v>21.8</v>
      </c>
      <c r="G46" s="27">
        <v>0</v>
      </c>
      <c r="H46" s="44">
        <v>1.9000000000000001</v>
      </c>
      <c r="I46" s="49">
        <f>H46*Subsector!$S$11</f>
        <v>6.7358160785406709E-3</v>
      </c>
      <c r="J46" s="26">
        <f>H46*Subsector!$S$12</f>
        <v>1.1436237799652518</v>
      </c>
      <c r="K46" s="26">
        <f>H46*Subsector!$S$13</f>
        <v>0.71673834275845727</v>
      </c>
      <c r="L46" s="26">
        <f>H46*Subsector!$S$15</f>
        <v>2.3854984201738458E-2</v>
      </c>
      <c r="M46" s="26">
        <f>H46*Subsector!$S$16</f>
        <v>0</v>
      </c>
      <c r="N46" s="66">
        <f>H46*Subsector!$S$17</f>
        <v>9.0470769960120118E-3</v>
      </c>
      <c r="O46" s="41">
        <f t="shared" ref="O46:P49" si="26">ROUNDUP(SUM(E46,I46),1)</f>
        <v>0.1</v>
      </c>
      <c r="P46" s="26">
        <f t="shared" si="26"/>
        <v>23</v>
      </c>
      <c r="Q46" s="26">
        <f>ROUNDUP(SUM(K46),1)</f>
        <v>0.79999999999999993</v>
      </c>
      <c r="R46" s="26">
        <f>ROUNDUP(SUM(G46,L46),1)</f>
        <v>0.1</v>
      </c>
      <c r="S46" s="26">
        <f t="shared" ref="S46:T49" si="27">ROUNDUP(SUM(M46),1)</f>
        <v>0</v>
      </c>
      <c r="T46" s="26">
        <f t="shared" si="27"/>
        <v>0.1</v>
      </c>
      <c r="U46" s="42">
        <f>SUM(O46:T46)</f>
        <v>24.100000000000005</v>
      </c>
    </row>
    <row r="47" spans="1:21" ht="19.95" customHeight="1" x14ac:dyDescent="0.3">
      <c r="A47" s="55"/>
      <c r="B47" s="28"/>
      <c r="C47" s="24">
        <v>64063</v>
      </c>
      <c r="D47" s="25" t="s">
        <v>79</v>
      </c>
      <c r="E47" s="43"/>
      <c r="F47" s="27">
        <v>7.1999999999999993</v>
      </c>
      <c r="G47" s="27">
        <v>0</v>
      </c>
      <c r="H47" s="44">
        <v>1.5</v>
      </c>
      <c r="I47" s="49">
        <f>H47*Subsector!$S$11</f>
        <v>5.3177495356900029E-3</v>
      </c>
      <c r="J47" s="26">
        <f>H47*Subsector!$S$12</f>
        <v>0.90286087891993549</v>
      </c>
      <c r="K47" s="26">
        <f>H47*Subsector!$S$13</f>
        <v>0.56584606007246618</v>
      </c>
      <c r="L47" s="26">
        <f>H47*Subsector!$S$15</f>
        <v>1.8832882264530362E-2</v>
      </c>
      <c r="M47" s="26">
        <f>H47*Subsector!$S$16</f>
        <v>0</v>
      </c>
      <c r="N47" s="66">
        <f>H47*Subsector!$S$17</f>
        <v>7.1424292073779035E-3</v>
      </c>
      <c r="O47" s="41">
        <f t="shared" si="26"/>
        <v>0.1</v>
      </c>
      <c r="P47" s="26">
        <f t="shared" si="26"/>
        <v>8.1999999999999993</v>
      </c>
      <c r="Q47" s="26">
        <f>ROUNDUP(SUM(K47),1)</f>
        <v>0.6</v>
      </c>
      <c r="R47" s="26">
        <f>ROUNDUP(SUM(G47,L47),1)</f>
        <v>0.1</v>
      </c>
      <c r="S47" s="26">
        <f t="shared" si="27"/>
        <v>0</v>
      </c>
      <c r="T47" s="26">
        <f t="shared" si="27"/>
        <v>0.1</v>
      </c>
      <c r="U47" s="42">
        <f>SUM(O47:T47)</f>
        <v>9.0999999999999979</v>
      </c>
    </row>
    <row r="48" spans="1:21" ht="19.95" hidden="1" customHeight="1" x14ac:dyDescent="0.3">
      <c r="A48" s="55"/>
      <c r="B48" s="24"/>
      <c r="C48" s="24">
        <v>64064</v>
      </c>
      <c r="D48" s="25" t="s">
        <v>80</v>
      </c>
      <c r="E48" s="43"/>
      <c r="F48" s="27"/>
      <c r="G48" s="27"/>
      <c r="H48" s="44"/>
      <c r="I48" s="49">
        <f>H48*Subsector!$S$11</f>
        <v>0</v>
      </c>
      <c r="J48" s="26">
        <f>H48*Subsector!$S$12</f>
        <v>0</v>
      </c>
      <c r="K48" s="26">
        <f>H48*Subsector!$S$13</f>
        <v>0</v>
      </c>
      <c r="L48" s="26">
        <f>H48*Subsector!$S$15</f>
        <v>0</v>
      </c>
      <c r="M48" s="26">
        <f>H48*Subsector!$S$16</f>
        <v>0</v>
      </c>
      <c r="N48" s="66">
        <f>H48*Subsector!$S$17</f>
        <v>0</v>
      </c>
      <c r="O48" s="41">
        <f t="shared" si="26"/>
        <v>0</v>
      </c>
      <c r="P48" s="26">
        <f t="shared" si="26"/>
        <v>0</v>
      </c>
      <c r="Q48" s="26">
        <f>ROUNDUP(SUM(K48),1)</f>
        <v>0</v>
      </c>
      <c r="R48" s="26">
        <f>ROUNDUP(SUM(G48,L48),1)</f>
        <v>0</v>
      </c>
      <c r="S48" s="26">
        <f t="shared" si="27"/>
        <v>0</v>
      </c>
      <c r="T48" s="26">
        <f t="shared" si="27"/>
        <v>0</v>
      </c>
      <c r="U48" s="42">
        <f>SUM(O48:T48)</f>
        <v>0</v>
      </c>
    </row>
    <row r="49" spans="1:21" ht="19.95" hidden="1" customHeight="1" x14ac:dyDescent="0.3">
      <c r="A49" s="55"/>
      <c r="B49" s="24"/>
      <c r="C49" s="24">
        <v>64068</v>
      </c>
      <c r="D49" s="25" t="s">
        <v>81</v>
      </c>
      <c r="E49" s="43"/>
      <c r="F49" s="27"/>
      <c r="G49" s="27"/>
      <c r="H49" s="44"/>
      <c r="I49" s="49">
        <f>H49*Subsector!$S$11</f>
        <v>0</v>
      </c>
      <c r="J49" s="26">
        <f>H49*Subsector!$S$12</f>
        <v>0</v>
      </c>
      <c r="K49" s="26">
        <f>H49*Subsector!$S$13</f>
        <v>0</v>
      </c>
      <c r="L49" s="26">
        <f>H49*Subsector!$S$15</f>
        <v>0</v>
      </c>
      <c r="M49" s="26">
        <f>H49*Subsector!$S$16</f>
        <v>0</v>
      </c>
      <c r="N49" s="66">
        <f>H49*Subsector!$S$17</f>
        <v>0</v>
      </c>
      <c r="O49" s="41">
        <f t="shared" si="26"/>
        <v>0</v>
      </c>
      <c r="P49" s="26">
        <f t="shared" si="26"/>
        <v>0</v>
      </c>
      <c r="Q49" s="26">
        <f>ROUNDUP(SUM(K49),1)</f>
        <v>0</v>
      </c>
      <c r="R49" s="26">
        <f>ROUNDUP(SUM(G49,L49),1)</f>
        <v>0</v>
      </c>
      <c r="S49" s="26">
        <f t="shared" si="27"/>
        <v>0</v>
      </c>
      <c r="T49" s="26">
        <f t="shared" si="27"/>
        <v>0</v>
      </c>
      <c r="U49" s="42">
        <f>SUM(O49:T49)</f>
        <v>0</v>
      </c>
    </row>
    <row r="50" spans="1:21" ht="19.95" hidden="1" customHeight="1" x14ac:dyDescent="0.3">
      <c r="A50" s="51"/>
      <c r="B50" s="28">
        <v>6407</v>
      </c>
      <c r="C50" s="28"/>
      <c r="D50" s="29" t="s">
        <v>82</v>
      </c>
      <c r="E50" s="39">
        <f>SUM(E51:E58)</f>
        <v>0</v>
      </c>
      <c r="F50" s="22">
        <f t="shared" ref="F50:U50" si="28">SUM(F51:F58)</f>
        <v>0</v>
      </c>
      <c r="G50" s="22">
        <f t="shared" si="28"/>
        <v>0</v>
      </c>
      <c r="H50" s="40">
        <f t="shared" si="28"/>
        <v>0</v>
      </c>
      <c r="I50" s="36">
        <f t="shared" si="28"/>
        <v>0</v>
      </c>
      <c r="J50" s="22">
        <f t="shared" si="28"/>
        <v>0</v>
      </c>
      <c r="K50" s="22">
        <f t="shared" si="28"/>
        <v>0</v>
      </c>
      <c r="L50" s="22">
        <f t="shared" si="28"/>
        <v>0</v>
      </c>
      <c r="M50" s="22">
        <f t="shared" si="28"/>
        <v>0</v>
      </c>
      <c r="N50" s="65">
        <f t="shared" si="28"/>
        <v>0</v>
      </c>
      <c r="O50" s="39">
        <f t="shared" si="28"/>
        <v>0</v>
      </c>
      <c r="P50" s="22">
        <f t="shared" si="28"/>
        <v>0</v>
      </c>
      <c r="Q50" s="22">
        <f t="shared" si="28"/>
        <v>0</v>
      </c>
      <c r="R50" s="22">
        <f t="shared" si="28"/>
        <v>0</v>
      </c>
      <c r="S50" s="22">
        <f t="shared" si="28"/>
        <v>0</v>
      </c>
      <c r="T50" s="22">
        <f t="shared" si="28"/>
        <v>0</v>
      </c>
      <c r="U50" s="40">
        <f t="shared" si="28"/>
        <v>0</v>
      </c>
    </row>
    <row r="51" spans="1:21" ht="19.95" hidden="1" customHeight="1" x14ac:dyDescent="0.3">
      <c r="A51" s="52"/>
      <c r="B51" s="28"/>
      <c r="C51" s="30">
        <v>64071</v>
      </c>
      <c r="D51" s="31" t="s">
        <v>83</v>
      </c>
      <c r="E51" s="43"/>
      <c r="F51" s="27"/>
      <c r="G51" s="27"/>
      <c r="H51" s="44"/>
      <c r="I51" s="49">
        <f>H51*Subsector!$S$11</f>
        <v>0</v>
      </c>
      <c r="J51" s="26">
        <f>H51*Subsector!$S$12</f>
        <v>0</v>
      </c>
      <c r="K51" s="26">
        <f>H51*Subsector!$S$13</f>
        <v>0</v>
      </c>
      <c r="L51" s="26">
        <f>H51*Subsector!$S$15</f>
        <v>0</v>
      </c>
      <c r="M51" s="26">
        <f>H51*Subsector!$S$16</f>
        <v>0</v>
      </c>
      <c r="N51" s="66">
        <f>H51*Subsector!$S$17</f>
        <v>0</v>
      </c>
      <c r="O51" s="41">
        <f t="shared" ref="O51:P58" si="29">ROUNDUP(SUM(E51,I51),1)</f>
        <v>0</v>
      </c>
      <c r="P51" s="26">
        <f t="shared" si="29"/>
        <v>0</v>
      </c>
      <c r="Q51" s="26">
        <f t="shared" ref="Q51:Q58" si="30">ROUNDUP(SUM(K51),1)</f>
        <v>0</v>
      </c>
      <c r="R51" s="26">
        <f t="shared" ref="R51:R58" si="31">ROUNDUP(SUM(G51,L51),1)</f>
        <v>0</v>
      </c>
      <c r="S51" s="26">
        <f t="shared" ref="S51:T58" si="32">ROUNDUP(SUM(M51),1)</f>
        <v>0</v>
      </c>
      <c r="T51" s="26">
        <f t="shared" si="32"/>
        <v>0</v>
      </c>
      <c r="U51" s="42">
        <f t="shared" ref="U51:U58" si="33">SUM(O51:T51)</f>
        <v>0</v>
      </c>
    </row>
    <row r="52" spans="1:21" ht="19.95" hidden="1" customHeight="1" x14ac:dyDescent="0.3">
      <c r="A52" s="52"/>
      <c r="B52" s="28"/>
      <c r="C52" s="30">
        <v>64072</v>
      </c>
      <c r="D52" s="31" t="s">
        <v>84</v>
      </c>
      <c r="E52" s="43"/>
      <c r="F52" s="27"/>
      <c r="G52" s="27"/>
      <c r="H52" s="44"/>
      <c r="I52" s="49">
        <f>H52*Subsector!$S$11</f>
        <v>0</v>
      </c>
      <c r="J52" s="26">
        <f>H52*Subsector!$S$12</f>
        <v>0</v>
      </c>
      <c r="K52" s="26">
        <f>H52*Subsector!$S$13</f>
        <v>0</v>
      </c>
      <c r="L52" s="26">
        <f>H52*Subsector!$S$15</f>
        <v>0</v>
      </c>
      <c r="M52" s="26">
        <f>H52*Subsector!$S$16</f>
        <v>0</v>
      </c>
      <c r="N52" s="66">
        <f>H52*Subsector!$S$17</f>
        <v>0</v>
      </c>
      <c r="O52" s="41">
        <f t="shared" si="29"/>
        <v>0</v>
      </c>
      <c r="P52" s="26">
        <f t="shared" si="29"/>
        <v>0</v>
      </c>
      <c r="Q52" s="26">
        <f t="shared" si="30"/>
        <v>0</v>
      </c>
      <c r="R52" s="26">
        <f t="shared" si="31"/>
        <v>0</v>
      </c>
      <c r="S52" s="26">
        <f t="shared" si="32"/>
        <v>0</v>
      </c>
      <c r="T52" s="26">
        <f t="shared" si="32"/>
        <v>0</v>
      </c>
      <c r="U52" s="42">
        <f t="shared" si="33"/>
        <v>0</v>
      </c>
    </row>
    <row r="53" spans="1:21" ht="19.95" hidden="1" customHeight="1" x14ac:dyDescent="0.3">
      <c r="A53" s="52"/>
      <c r="B53" s="28"/>
      <c r="C53" s="30">
        <v>64073</v>
      </c>
      <c r="D53" s="31" t="s">
        <v>85</v>
      </c>
      <c r="E53" s="43"/>
      <c r="F53" s="27"/>
      <c r="G53" s="27"/>
      <c r="H53" s="44"/>
      <c r="I53" s="49">
        <f>H53*Subsector!$S$11</f>
        <v>0</v>
      </c>
      <c r="J53" s="26">
        <f>H53*Subsector!$S$12</f>
        <v>0</v>
      </c>
      <c r="K53" s="26">
        <f>H53*Subsector!$S$13</f>
        <v>0</v>
      </c>
      <c r="L53" s="26">
        <f>H53*Subsector!$S$15</f>
        <v>0</v>
      </c>
      <c r="M53" s="26">
        <f>H53*Subsector!$S$16</f>
        <v>0</v>
      </c>
      <c r="N53" s="66">
        <f>H53*Subsector!$S$17</f>
        <v>0</v>
      </c>
      <c r="O53" s="41">
        <f t="shared" si="29"/>
        <v>0</v>
      </c>
      <c r="P53" s="26">
        <f t="shared" si="29"/>
        <v>0</v>
      </c>
      <c r="Q53" s="26">
        <f t="shared" si="30"/>
        <v>0</v>
      </c>
      <c r="R53" s="26">
        <f t="shared" si="31"/>
        <v>0</v>
      </c>
      <c r="S53" s="26">
        <f t="shared" si="32"/>
        <v>0</v>
      </c>
      <c r="T53" s="26">
        <f t="shared" si="32"/>
        <v>0</v>
      </c>
      <c r="U53" s="42">
        <f t="shared" si="33"/>
        <v>0</v>
      </c>
    </row>
    <row r="54" spans="1:21" ht="19.95" hidden="1" customHeight="1" x14ac:dyDescent="0.3">
      <c r="A54" s="52"/>
      <c r="B54" s="24"/>
      <c r="C54" s="30">
        <v>64074</v>
      </c>
      <c r="D54" s="25" t="s">
        <v>86</v>
      </c>
      <c r="E54" s="43"/>
      <c r="F54" s="27"/>
      <c r="G54" s="27"/>
      <c r="H54" s="44"/>
      <c r="I54" s="49">
        <f>H54*Subsector!$S$11</f>
        <v>0</v>
      </c>
      <c r="J54" s="26">
        <f>H54*Subsector!$S$12</f>
        <v>0</v>
      </c>
      <c r="K54" s="26">
        <f>H54*Subsector!$S$13</f>
        <v>0</v>
      </c>
      <c r="L54" s="26">
        <f>H54*Subsector!$S$15</f>
        <v>0</v>
      </c>
      <c r="M54" s="26">
        <f>H54*Subsector!$S$16</f>
        <v>0</v>
      </c>
      <c r="N54" s="66">
        <f>H54*Subsector!$S$17</f>
        <v>0</v>
      </c>
      <c r="O54" s="41">
        <f t="shared" si="29"/>
        <v>0</v>
      </c>
      <c r="P54" s="26">
        <f t="shared" si="29"/>
        <v>0</v>
      </c>
      <c r="Q54" s="26">
        <f t="shared" si="30"/>
        <v>0</v>
      </c>
      <c r="R54" s="26">
        <f t="shared" si="31"/>
        <v>0</v>
      </c>
      <c r="S54" s="26">
        <f t="shared" si="32"/>
        <v>0</v>
      </c>
      <c r="T54" s="26">
        <f t="shared" si="32"/>
        <v>0</v>
      </c>
      <c r="U54" s="42">
        <f t="shared" si="33"/>
        <v>0</v>
      </c>
    </row>
    <row r="55" spans="1:21" ht="19.95" hidden="1" customHeight="1" x14ac:dyDescent="0.3">
      <c r="A55" s="52"/>
      <c r="B55" s="28"/>
      <c r="C55" s="30">
        <v>64075</v>
      </c>
      <c r="D55" s="31" t="s">
        <v>48</v>
      </c>
      <c r="E55" s="43"/>
      <c r="F55" s="27"/>
      <c r="G55" s="27"/>
      <c r="H55" s="44"/>
      <c r="I55" s="49">
        <f>H55*Subsector!$S$11</f>
        <v>0</v>
      </c>
      <c r="J55" s="26">
        <f>H55*Subsector!$S$12</f>
        <v>0</v>
      </c>
      <c r="K55" s="26">
        <f>H55*Subsector!$S$13</f>
        <v>0</v>
      </c>
      <c r="L55" s="26">
        <f>H55*Subsector!$S$15</f>
        <v>0</v>
      </c>
      <c r="M55" s="26">
        <f>H55*Subsector!$S$16</f>
        <v>0</v>
      </c>
      <c r="N55" s="66">
        <f>H55*Subsector!$S$17</f>
        <v>0</v>
      </c>
      <c r="O55" s="41">
        <f t="shared" si="29"/>
        <v>0</v>
      </c>
      <c r="P55" s="26">
        <f t="shared" si="29"/>
        <v>0</v>
      </c>
      <c r="Q55" s="26">
        <f t="shared" si="30"/>
        <v>0</v>
      </c>
      <c r="R55" s="26">
        <f t="shared" si="31"/>
        <v>0</v>
      </c>
      <c r="S55" s="26">
        <f t="shared" si="32"/>
        <v>0</v>
      </c>
      <c r="T55" s="26">
        <f t="shared" si="32"/>
        <v>0</v>
      </c>
      <c r="U55" s="42">
        <f t="shared" si="33"/>
        <v>0</v>
      </c>
    </row>
    <row r="56" spans="1:21" ht="19.95" hidden="1" customHeight="1" x14ac:dyDescent="0.3">
      <c r="A56" s="52"/>
      <c r="B56" s="28"/>
      <c r="C56" s="30">
        <v>64076</v>
      </c>
      <c r="D56" s="31" t="s">
        <v>49</v>
      </c>
      <c r="E56" s="43"/>
      <c r="F56" s="27"/>
      <c r="G56" s="27"/>
      <c r="H56" s="44"/>
      <c r="I56" s="49">
        <f>H56*Subsector!$S$11</f>
        <v>0</v>
      </c>
      <c r="J56" s="26">
        <f>H56*Subsector!$S$12</f>
        <v>0</v>
      </c>
      <c r="K56" s="26">
        <f>H56*Subsector!$S$13</f>
        <v>0</v>
      </c>
      <c r="L56" s="26">
        <f>H56*Subsector!$S$15</f>
        <v>0</v>
      </c>
      <c r="M56" s="26">
        <f>H56*Subsector!$S$16</f>
        <v>0</v>
      </c>
      <c r="N56" s="66">
        <f>H56*Subsector!$S$17</f>
        <v>0</v>
      </c>
      <c r="O56" s="41">
        <f t="shared" si="29"/>
        <v>0</v>
      </c>
      <c r="P56" s="26">
        <f t="shared" si="29"/>
        <v>0</v>
      </c>
      <c r="Q56" s="26">
        <f t="shared" si="30"/>
        <v>0</v>
      </c>
      <c r="R56" s="26">
        <f t="shared" si="31"/>
        <v>0</v>
      </c>
      <c r="S56" s="26">
        <f t="shared" si="32"/>
        <v>0</v>
      </c>
      <c r="T56" s="26">
        <f t="shared" si="32"/>
        <v>0</v>
      </c>
      <c r="U56" s="42">
        <f t="shared" si="33"/>
        <v>0</v>
      </c>
    </row>
    <row r="57" spans="1:21" ht="19.95" hidden="1" customHeight="1" x14ac:dyDescent="0.3">
      <c r="A57" s="52"/>
      <c r="B57" s="28"/>
      <c r="C57" s="30">
        <v>64077</v>
      </c>
      <c r="D57" s="31" t="s">
        <v>50</v>
      </c>
      <c r="E57" s="43"/>
      <c r="F57" s="27"/>
      <c r="G57" s="27"/>
      <c r="H57" s="44"/>
      <c r="I57" s="49">
        <f>H57*Subsector!$S$11</f>
        <v>0</v>
      </c>
      <c r="J57" s="26">
        <f>H57*Subsector!$S$12</f>
        <v>0</v>
      </c>
      <c r="K57" s="26">
        <f>H57*Subsector!$S$13</f>
        <v>0</v>
      </c>
      <c r="L57" s="26">
        <f>H57*Subsector!$S$15</f>
        <v>0</v>
      </c>
      <c r="M57" s="26">
        <f>H57*Subsector!$S$16</f>
        <v>0</v>
      </c>
      <c r="N57" s="66">
        <f>H57*Subsector!$S$17</f>
        <v>0</v>
      </c>
      <c r="O57" s="41">
        <f t="shared" si="29"/>
        <v>0</v>
      </c>
      <c r="P57" s="26">
        <f t="shared" si="29"/>
        <v>0</v>
      </c>
      <c r="Q57" s="26">
        <f t="shared" si="30"/>
        <v>0</v>
      </c>
      <c r="R57" s="26">
        <f t="shared" si="31"/>
        <v>0</v>
      </c>
      <c r="S57" s="26">
        <f t="shared" si="32"/>
        <v>0</v>
      </c>
      <c r="T57" s="26">
        <f t="shared" si="32"/>
        <v>0</v>
      </c>
      <c r="U57" s="42">
        <f t="shared" si="33"/>
        <v>0</v>
      </c>
    </row>
    <row r="58" spans="1:21" ht="19.95" hidden="1" customHeight="1" x14ac:dyDescent="0.3">
      <c r="A58" s="52"/>
      <c r="B58" s="28"/>
      <c r="C58" s="30">
        <v>64078</v>
      </c>
      <c r="D58" s="31" t="s">
        <v>87</v>
      </c>
      <c r="E58" s="43"/>
      <c r="F58" s="27"/>
      <c r="G58" s="27"/>
      <c r="H58" s="44"/>
      <c r="I58" s="49">
        <f>H58*Subsector!$S$11</f>
        <v>0</v>
      </c>
      <c r="J58" s="26">
        <f>H58*Subsector!$S$12</f>
        <v>0</v>
      </c>
      <c r="K58" s="26">
        <f>H58*Subsector!$S$13</f>
        <v>0</v>
      </c>
      <c r="L58" s="26">
        <f>H58*Subsector!$S$15</f>
        <v>0</v>
      </c>
      <c r="M58" s="26">
        <f>H58*Subsector!$S$16</f>
        <v>0</v>
      </c>
      <c r="N58" s="66">
        <f>H58*Subsector!$S$17</f>
        <v>0</v>
      </c>
      <c r="O58" s="41">
        <f t="shared" si="29"/>
        <v>0</v>
      </c>
      <c r="P58" s="26">
        <f t="shared" si="29"/>
        <v>0</v>
      </c>
      <c r="Q58" s="26">
        <f t="shared" si="30"/>
        <v>0</v>
      </c>
      <c r="R58" s="26">
        <f t="shared" si="31"/>
        <v>0</v>
      </c>
      <c r="S58" s="26">
        <f t="shared" si="32"/>
        <v>0</v>
      </c>
      <c r="T58" s="26">
        <f t="shared" si="32"/>
        <v>0</v>
      </c>
      <c r="U58" s="42">
        <f t="shared" si="33"/>
        <v>0</v>
      </c>
    </row>
    <row r="59" spans="1:21" ht="19.95" customHeight="1" x14ac:dyDescent="0.3">
      <c r="A59" s="51"/>
      <c r="B59" s="28">
        <v>6498</v>
      </c>
      <c r="C59" s="28"/>
      <c r="D59" s="29" t="s">
        <v>88</v>
      </c>
      <c r="E59" s="39">
        <f>SUM(E60)</f>
        <v>0</v>
      </c>
      <c r="F59" s="22">
        <f t="shared" ref="F59:U59" si="34">SUM(F60)</f>
        <v>32.299999999999997</v>
      </c>
      <c r="G59" s="22">
        <f>SUM(G60)</f>
        <v>0.9</v>
      </c>
      <c r="H59" s="40">
        <f t="shared" si="34"/>
        <v>1.5</v>
      </c>
      <c r="I59" s="36">
        <f t="shared" si="34"/>
        <v>5.3177495356900029E-3</v>
      </c>
      <c r="J59" s="22">
        <f t="shared" si="34"/>
        <v>0.90286087891993549</v>
      </c>
      <c r="K59" s="22">
        <f t="shared" si="34"/>
        <v>0.56584606007246618</v>
      </c>
      <c r="L59" s="22">
        <f t="shared" si="34"/>
        <v>1.8832882264530362E-2</v>
      </c>
      <c r="M59" s="22">
        <f t="shared" si="34"/>
        <v>0</v>
      </c>
      <c r="N59" s="65">
        <f t="shared" si="34"/>
        <v>7.1424292073779035E-3</v>
      </c>
      <c r="O59" s="39">
        <f t="shared" si="34"/>
        <v>0.1</v>
      </c>
      <c r="P59" s="22">
        <f t="shared" si="34"/>
        <v>33.300000000000004</v>
      </c>
      <c r="Q59" s="22">
        <f t="shared" si="34"/>
        <v>0.6</v>
      </c>
      <c r="R59" s="22">
        <f t="shared" si="34"/>
        <v>1</v>
      </c>
      <c r="S59" s="22">
        <f t="shared" si="34"/>
        <v>0</v>
      </c>
      <c r="T59" s="22">
        <f t="shared" si="34"/>
        <v>0.1</v>
      </c>
      <c r="U59" s="40">
        <f t="shared" si="34"/>
        <v>35.100000000000009</v>
      </c>
    </row>
    <row r="60" spans="1:21" ht="19.95" customHeight="1" thickBot="1" x14ac:dyDescent="0.35">
      <c r="A60" s="56"/>
      <c r="B60" s="57"/>
      <c r="C60" s="58">
        <v>64981</v>
      </c>
      <c r="D60" s="59" t="s">
        <v>88</v>
      </c>
      <c r="E60" s="68"/>
      <c r="F60" s="69">
        <v>32.299999999999997</v>
      </c>
      <c r="G60" s="69">
        <v>0.9</v>
      </c>
      <c r="H60" s="70">
        <v>1.5</v>
      </c>
      <c r="I60" s="63">
        <f>H60*Subsector!$S$11</f>
        <v>5.3177495356900029E-3</v>
      </c>
      <c r="J60" s="61">
        <f>H60*Subsector!$S$12</f>
        <v>0.90286087891993549</v>
      </c>
      <c r="K60" s="61">
        <f>H60*Subsector!$S$13</f>
        <v>0.56584606007246618</v>
      </c>
      <c r="L60" s="61">
        <f>H60*Subsector!$S$15</f>
        <v>1.8832882264530362E-2</v>
      </c>
      <c r="M60" s="61">
        <f>H60*Subsector!$S$16</f>
        <v>0</v>
      </c>
      <c r="N60" s="67">
        <f>H60*Subsector!$S$17</f>
        <v>7.1424292073779035E-3</v>
      </c>
      <c r="O60" s="60">
        <f>ROUNDUP(SUM(E60,I60),1)</f>
        <v>0.1</v>
      </c>
      <c r="P60" s="61">
        <f>ROUNDUP(SUM(F60,J60),1)</f>
        <v>33.300000000000004</v>
      </c>
      <c r="Q60" s="61">
        <f>ROUNDUP(SUM(K60),1)</f>
        <v>0.6</v>
      </c>
      <c r="R60" s="61">
        <f>ROUNDUP(SUM(G60,L60),1)</f>
        <v>1</v>
      </c>
      <c r="S60" s="61">
        <f>ROUNDUP(SUM(M60),1)</f>
        <v>0</v>
      </c>
      <c r="T60" s="61">
        <f>ROUNDUP(SUM(N60),1)</f>
        <v>0.1</v>
      </c>
      <c r="U60" s="62">
        <f>SUM(O60:T60)</f>
        <v>35.100000000000009</v>
      </c>
    </row>
  </sheetData>
  <sheetProtection algorithmName="SHA-512" hashValue="khDv043y2WmFjoxDwCS7d33DrhqTxrt+S91Ddp5szSKLYyp9C6b6DysbLHctumrYuCt9wNTi5z2X3bpocTJGTQ==" saltValue="xC4dGEP3ZCMb2irjnxwdVA==" spinCount="100000" sheet="1" formatCells="0" formatColumns="0" formatRows="0" sort="0" autoFilter="0" pivotTables="0"/>
  <mergeCells count="8">
    <mergeCell ref="A3:U3"/>
    <mergeCell ref="A5:A7"/>
    <mergeCell ref="B5:B7"/>
    <mergeCell ref="C5:C7"/>
    <mergeCell ref="D5:D7"/>
    <mergeCell ref="E5:H5"/>
    <mergeCell ref="I5:N6"/>
    <mergeCell ref="O5:U6"/>
  </mergeCells>
  <pageMargins left="0.11811023622047245" right="0.11811023622047245" top="0.74803149606299213" bottom="0.74803149606299213" header="0.31496062992125984" footer="0.31496062992125984"/>
  <pageSetup paperSize="9" scale="85" orientation="landscape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72816-3D83-434B-8344-6A82F65E6459}">
  <sheetPr codeName="Sheet9"/>
  <dimension ref="A1:U60"/>
  <sheetViews>
    <sheetView topLeftCell="A4" zoomScale="115" zoomScaleNormal="115" workbookViewId="0">
      <selection activeCell="W7" sqref="W7"/>
    </sheetView>
  </sheetViews>
  <sheetFormatPr defaultRowHeight="14.4" x14ac:dyDescent="0.3"/>
  <cols>
    <col min="1" max="1" width="4" customWidth="1"/>
    <col min="2" max="2" width="6.88671875" customWidth="1"/>
    <col min="3" max="3" width="9.44140625" customWidth="1"/>
    <col min="4" max="4" width="30.109375" customWidth="1"/>
    <col min="5" max="5" width="4.77734375" customWidth="1"/>
    <col min="6" max="6" width="8.21875" customWidth="1"/>
    <col min="7" max="7" width="6.109375" customWidth="1"/>
    <col min="8" max="8" width="7.5546875" customWidth="1"/>
    <col min="9" max="9" width="5.6640625" customWidth="1"/>
    <col min="10" max="10" width="5.44140625" customWidth="1"/>
    <col min="11" max="11" width="6.5546875" customWidth="1"/>
    <col min="12" max="12" width="5.33203125" customWidth="1"/>
    <col min="13" max="13" width="4.33203125" customWidth="1"/>
    <col min="14" max="14" width="5.109375" customWidth="1"/>
    <col min="15" max="15" width="5.21875" customWidth="1"/>
    <col min="16" max="16" width="8.109375" customWidth="1"/>
    <col min="17" max="17" width="6.88671875" customWidth="1"/>
    <col min="18" max="18" width="5.77734375" customWidth="1"/>
    <col min="19" max="19" width="4.88671875" customWidth="1"/>
    <col min="20" max="20" width="4.77734375" customWidth="1"/>
    <col min="21" max="21" width="8.6640625" customWidth="1"/>
  </cols>
  <sheetData>
    <row r="1" spans="1:21" ht="21.45" customHeight="1" x14ac:dyDescent="0.3"/>
    <row r="2" spans="1:21" ht="21.45" customHeight="1" x14ac:dyDescent="0.3"/>
    <row r="3" spans="1:21" ht="36.450000000000003" customHeight="1" x14ac:dyDescent="0.3">
      <c r="A3" s="108" t="s">
        <v>100</v>
      </c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</row>
    <row r="4" spans="1:21" ht="21.45" customHeight="1" thickBot="1" x14ac:dyDescent="0.35"/>
    <row r="5" spans="1:21" ht="43.5" customHeight="1" x14ac:dyDescent="0.3">
      <c r="A5" s="123" t="s">
        <v>39</v>
      </c>
      <c r="B5" s="121" t="s">
        <v>40</v>
      </c>
      <c r="C5" s="121" t="s">
        <v>41</v>
      </c>
      <c r="D5" s="119" t="s">
        <v>42</v>
      </c>
      <c r="E5" s="125" t="s">
        <v>99</v>
      </c>
      <c r="F5" s="126"/>
      <c r="G5" s="126"/>
      <c r="H5" s="127"/>
      <c r="I5" s="140" t="s">
        <v>94</v>
      </c>
      <c r="J5" s="141"/>
      <c r="K5" s="141"/>
      <c r="L5" s="141"/>
      <c r="M5" s="141"/>
      <c r="N5" s="142"/>
      <c r="O5" s="134" t="s">
        <v>95</v>
      </c>
      <c r="P5" s="135"/>
      <c r="Q5" s="135"/>
      <c r="R5" s="135"/>
      <c r="S5" s="135"/>
      <c r="T5" s="135"/>
      <c r="U5" s="136"/>
    </row>
    <row r="6" spans="1:21" ht="43.05" customHeight="1" x14ac:dyDescent="0.8">
      <c r="A6" s="124"/>
      <c r="B6" s="122"/>
      <c r="C6" s="122"/>
      <c r="D6" s="120"/>
      <c r="E6" s="45"/>
      <c r="F6" s="46"/>
      <c r="G6" s="46"/>
      <c r="H6" s="47"/>
      <c r="I6" s="143"/>
      <c r="J6" s="144"/>
      <c r="K6" s="144"/>
      <c r="L6" s="144"/>
      <c r="M6" s="144"/>
      <c r="N6" s="145"/>
      <c r="O6" s="137"/>
      <c r="P6" s="138"/>
      <c r="Q6" s="138"/>
      <c r="R6" s="138"/>
      <c r="S6" s="138"/>
      <c r="T6" s="138"/>
      <c r="U6" s="139"/>
    </row>
    <row r="7" spans="1:21" ht="132.44999999999999" customHeight="1" x14ac:dyDescent="0.3">
      <c r="A7" s="124"/>
      <c r="B7" s="122"/>
      <c r="C7" s="122"/>
      <c r="D7" s="120"/>
      <c r="E7" s="146" t="s">
        <v>25</v>
      </c>
      <c r="F7" s="147" t="s">
        <v>26</v>
      </c>
      <c r="G7" s="147" t="s">
        <v>29</v>
      </c>
      <c r="H7" s="148" t="s">
        <v>91</v>
      </c>
      <c r="I7" s="149" t="s">
        <v>25</v>
      </c>
      <c r="J7" s="150" t="s">
        <v>26</v>
      </c>
      <c r="K7" s="150" t="s">
        <v>27</v>
      </c>
      <c r="L7" s="150" t="s">
        <v>29</v>
      </c>
      <c r="M7" s="150" t="s">
        <v>30</v>
      </c>
      <c r="N7" s="151" t="s">
        <v>31</v>
      </c>
      <c r="O7" s="152" t="s">
        <v>25</v>
      </c>
      <c r="P7" s="153" t="s">
        <v>26</v>
      </c>
      <c r="Q7" s="153" t="s">
        <v>27</v>
      </c>
      <c r="R7" s="153" t="s">
        <v>29</v>
      </c>
      <c r="S7" s="153" t="s">
        <v>30</v>
      </c>
      <c r="T7" s="153" t="s">
        <v>31</v>
      </c>
      <c r="U7" s="154" t="s">
        <v>12</v>
      </c>
    </row>
    <row r="8" spans="1:21" ht="19.95" customHeight="1" x14ac:dyDescent="0.3">
      <c r="A8" s="50">
        <v>64</v>
      </c>
      <c r="B8" s="32"/>
      <c r="C8" s="32"/>
      <c r="D8" s="33" t="s">
        <v>43</v>
      </c>
      <c r="E8" s="37">
        <f>SUM(E9,E18,E27,E33,E37,E45,E50,E59)</f>
        <v>0</v>
      </c>
      <c r="F8" s="34">
        <f t="shared" ref="F8:U8" si="0">SUM(F9,F18,F27,F33,F37,F45,F50,F59)</f>
        <v>2077.6</v>
      </c>
      <c r="G8" s="34">
        <f t="shared" si="0"/>
        <v>39.800000000000004</v>
      </c>
      <c r="H8" s="38">
        <f t="shared" si="0"/>
        <v>113.80000000000001</v>
      </c>
      <c r="I8" s="35">
        <f t="shared" si="0"/>
        <v>0.40343993144101487</v>
      </c>
      <c r="J8" s="34">
        <f t="shared" si="0"/>
        <v>68.497045347392458</v>
      </c>
      <c r="K8" s="34">
        <f t="shared" si="0"/>
        <v>42.928854424164442</v>
      </c>
      <c r="L8" s="34">
        <f t="shared" si="0"/>
        <v>1.4287880011357033</v>
      </c>
      <c r="M8" s="34">
        <f t="shared" si="0"/>
        <v>0</v>
      </c>
      <c r="N8" s="64">
        <f t="shared" si="0"/>
        <v>0.54187229586640373</v>
      </c>
      <c r="O8" s="37">
        <f t="shared" si="0"/>
        <v>0.79999999999999993</v>
      </c>
      <c r="P8" s="34">
        <f t="shared" si="0"/>
        <v>2146.4000000000005</v>
      </c>
      <c r="Q8" s="34">
        <f t="shared" si="0"/>
        <v>43.3</v>
      </c>
      <c r="R8" s="34">
        <f t="shared" si="0"/>
        <v>41.7</v>
      </c>
      <c r="S8" s="34">
        <f t="shared" si="0"/>
        <v>0</v>
      </c>
      <c r="T8" s="34">
        <f t="shared" si="0"/>
        <v>1.0000000000000002</v>
      </c>
      <c r="U8" s="38">
        <f t="shared" si="0"/>
        <v>2233.2000000000003</v>
      </c>
    </row>
    <row r="9" spans="1:21" ht="19.95" hidden="1" customHeight="1" x14ac:dyDescent="0.3">
      <c r="A9" s="51"/>
      <c r="B9" s="23">
        <v>6401</v>
      </c>
      <c r="C9" s="23"/>
      <c r="D9" s="21" t="s">
        <v>90</v>
      </c>
      <c r="E9" s="39">
        <f>SUM(E10:E17)</f>
        <v>0</v>
      </c>
      <c r="F9" s="22">
        <f>SUM(F10:F17)</f>
        <v>0</v>
      </c>
      <c r="G9" s="22">
        <f t="shared" ref="G9:U9" si="1">SUM(G10:G17)</f>
        <v>0</v>
      </c>
      <c r="H9" s="40">
        <f t="shared" si="1"/>
        <v>0</v>
      </c>
      <c r="I9" s="36">
        <f t="shared" si="1"/>
        <v>0</v>
      </c>
      <c r="J9" s="22">
        <f t="shared" si="1"/>
        <v>0</v>
      </c>
      <c r="K9" s="22">
        <f t="shared" si="1"/>
        <v>0</v>
      </c>
      <c r="L9" s="22">
        <f t="shared" si="1"/>
        <v>0</v>
      </c>
      <c r="M9" s="22">
        <f t="shared" si="1"/>
        <v>0</v>
      </c>
      <c r="N9" s="65">
        <f t="shared" si="1"/>
        <v>0</v>
      </c>
      <c r="O9" s="39">
        <f>SUM(O10:O17)</f>
        <v>0</v>
      </c>
      <c r="P9" s="22">
        <f t="shared" si="1"/>
        <v>0</v>
      </c>
      <c r="Q9" s="22">
        <f t="shared" si="1"/>
        <v>0</v>
      </c>
      <c r="R9" s="22">
        <f t="shared" si="1"/>
        <v>0</v>
      </c>
      <c r="S9" s="22">
        <f t="shared" si="1"/>
        <v>0</v>
      </c>
      <c r="T9" s="22">
        <f t="shared" si="1"/>
        <v>0</v>
      </c>
      <c r="U9" s="40">
        <f t="shared" si="1"/>
        <v>0</v>
      </c>
    </row>
    <row r="10" spans="1:21" ht="19.95" hidden="1" customHeight="1" x14ac:dyDescent="0.3">
      <c r="A10" s="52"/>
      <c r="B10" s="24"/>
      <c r="C10" s="24">
        <v>64011</v>
      </c>
      <c r="D10" s="25" t="s">
        <v>44</v>
      </c>
      <c r="E10" s="43"/>
      <c r="F10" s="27"/>
      <c r="G10" s="27"/>
      <c r="H10" s="44"/>
      <c r="I10" s="49">
        <f>H10*Subsector!$S$11</f>
        <v>0</v>
      </c>
      <c r="J10" s="26">
        <f>H10*Subsector!$S$12</f>
        <v>0</v>
      </c>
      <c r="K10" s="26">
        <f>H10*Subsector!$S$13</f>
        <v>0</v>
      </c>
      <c r="L10" s="26">
        <f>H10*Subsector!$S$15</f>
        <v>0</v>
      </c>
      <c r="M10" s="26">
        <f>H10*Subsector!$S$16</f>
        <v>0</v>
      </c>
      <c r="N10" s="66">
        <f>H10*Subsector!$S$17</f>
        <v>0</v>
      </c>
      <c r="O10" s="41">
        <f t="shared" ref="O10:P17" si="2">ROUNDUP(SUM(E10,I10),1)</f>
        <v>0</v>
      </c>
      <c r="P10" s="26">
        <f t="shared" si="2"/>
        <v>0</v>
      </c>
      <c r="Q10" s="26">
        <f t="shared" ref="Q10:Q17" si="3">ROUNDUP(SUM(K10),1)</f>
        <v>0</v>
      </c>
      <c r="R10" s="26">
        <f t="shared" ref="R10:R17" si="4">ROUNDUP(SUM(G10,L10),1)</f>
        <v>0</v>
      </c>
      <c r="S10" s="26">
        <f t="shared" ref="S10:T17" si="5">ROUNDUP(SUM(M10),1)</f>
        <v>0</v>
      </c>
      <c r="T10" s="26">
        <f t="shared" si="5"/>
        <v>0</v>
      </c>
      <c r="U10" s="42">
        <f t="shared" ref="U10:U17" si="6">SUM(O10:T10)</f>
        <v>0</v>
      </c>
    </row>
    <row r="11" spans="1:21" ht="19.95" hidden="1" customHeight="1" x14ac:dyDescent="0.3">
      <c r="A11" s="52"/>
      <c r="B11" s="24"/>
      <c r="C11" s="24">
        <v>64012</v>
      </c>
      <c r="D11" s="25" t="s">
        <v>89</v>
      </c>
      <c r="E11" s="43"/>
      <c r="F11" s="27"/>
      <c r="G11" s="27"/>
      <c r="H11" s="44"/>
      <c r="I11" s="49">
        <f>H11*Subsector!$S$11</f>
        <v>0</v>
      </c>
      <c r="J11" s="26">
        <f>H11*Subsector!$S$12</f>
        <v>0</v>
      </c>
      <c r="K11" s="26">
        <f>H11*Subsector!$S$13</f>
        <v>0</v>
      </c>
      <c r="L11" s="26">
        <f>H11*Subsector!$S$15</f>
        <v>0</v>
      </c>
      <c r="M11" s="26">
        <f>H11*Subsector!$S$16</f>
        <v>0</v>
      </c>
      <c r="N11" s="66">
        <f>H11*Subsector!$S$17</f>
        <v>0</v>
      </c>
      <c r="O11" s="41">
        <f t="shared" si="2"/>
        <v>0</v>
      </c>
      <c r="P11" s="26">
        <f t="shared" si="2"/>
        <v>0</v>
      </c>
      <c r="Q11" s="26">
        <f t="shared" si="3"/>
        <v>0</v>
      </c>
      <c r="R11" s="26">
        <f t="shared" si="4"/>
        <v>0</v>
      </c>
      <c r="S11" s="26">
        <f t="shared" si="5"/>
        <v>0</v>
      </c>
      <c r="T11" s="26">
        <f t="shared" si="5"/>
        <v>0</v>
      </c>
      <c r="U11" s="42">
        <f t="shared" si="6"/>
        <v>0</v>
      </c>
    </row>
    <row r="12" spans="1:21" ht="19.95" hidden="1" customHeight="1" x14ac:dyDescent="0.3">
      <c r="A12" s="52"/>
      <c r="B12" s="24"/>
      <c r="C12" s="24">
        <v>64013</v>
      </c>
      <c r="D12" s="25" t="s">
        <v>45</v>
      </c>
      <c r="E12" s="43"/>
      <c r="F12" s="27">
        <v>0</v>
      </c>
      <c r="G12" s="27">
        <v>0</v>
      </c>
      <c r="H12" s="44">
        <v>0</v>
      </c>
      <c r="I12" s="49">
        <f>H12*Subsector!$S$11</f>
        <v>0</v>
      </c>
      <c r="J12" s="26">
        <f>H12*Subsector!$S$12</f>
        <v>0</v>
      </c>
      <c r="K12" s="26">
        <f>H12*Subsector!$S$13</f>
        <v>0</v>
      </c>
      <c r="L12" s="26">
        <f>H12*Subsector!$S$15</f>
        <v>0</v>
      </c>
      <c r="M12" s="26">
        <f>H12*Subsector!$S$16</f>
        <v>0</v>
      </c>
      <c r="N12" s="66">
        <f>H12*Subsector!$S$17</f>
        <v>0</v>
      </c>
      <c r="O12" s="41">
        <f t="shared" si="2"/>
        <v>0</v>
      </c>
      <c r="P12" s="26">
        <f t="shared" si="2"/>
        <v>0</v>
      </c>
      <c r="Q12" s="26">
        <f t="shared" si="3"/>
        <v>0</v>
      </c>
      <c r="R12" s="26">
        <f t="shared" si="4"/>
        <v>0</v>
      </c>
      <c r="S12" s="26">
        <f t="shared" si="5"/>
        <v>0</v>
      </c>
      <c r="T12" s="26">
        <f t="shared" si="5"/>
        <v>0</v>
      </c>
      <c r="U12" s="42">
        <f t="shared" si="6"/>
        <v>0</v>
      </c>
    </row>
    <row r="13" spans="1:21" ht="19.95" hidden="1" customHeight="1" x14ac:dyDescent="0.3">
      <c r="A13" s="52"/>
      <c r="B13" s="24"/>
      <c r="C13" s="24">
        <v>64014</v>
      </c>
      <c r="D13" s="25" t="s">
        <v>46</v>
      </c>
      <c r="E13" s="43"/>
      <c r="F13" s="27">
        <v>0</v>
      </c>
      <c r="G13" s="27">
        <v>0</v>
      </c>
      <c r="H13" s="44">
        <v>0</v>
      </c>
      <c r="I13" s="49">
        <f>H13*Subsector!$S$11</f>
        <v>0</v>
      </c>
      <c r="J13" s="26">
        <f>H13*Subsector!$S$12</f>
        <v>0</v>
      </c>
      <c r="K13" s="26">
        <f>H13*Subsector!$S$13</f>
        <v>0</v>
      </c>
      <c r="L13" s="26">
        <f>H13*Subsector!$S$15</f>
        <v>0</v>
      </c>
      <c r="M13" s="26">
        <f>H13*Subsector!$S$16</f>
        <v>0</v>
      </c>
      <c r="N13" s="66">
        <f>H13*Subsector!$S$17</f>
        <v>0</v>
      </c>
      <c r="O13" s="41">
        <f t="shared" si="2"/>
        <v>0</v>
      </c>
      <c r="P13" s="26">
        <f t="shared" si="2"/>
        <v>0</v>
      </c>
      <c r="Q13" s="26">
        <f t="shared" si="3"/>
        <v>0</v>
      </c>
      <c r="R13" s="26">
        <f t="shared" si="4"/>
        <v>0</v>
      </c>
      <c r="S13" s="26">
        <f t="shared" si="5"/>
        <v>0</v>
      </c>
      <c r="T13" s="26">
        <f t="shared" si="5"/>
        <v>0</v>
      </c>
      <c r="U13" s="42">
        <f t="shared" si="6"/>
        <v>0</v>
      </c>
    </row>
    <row r="14" spans="1:21" ht="19.95" hidden="1" customHeight="1" x14ac:dyDescent="0.3">
      <c r="A14" s="52"/>
      <c r="B14" s="24"/>
      <c r="C14" s="24">
        <v>64015</v>
      </c>
      <c r="D14" s="25" t="s">
        <v>47</v>
      </c>
      <c r="E14" s="43"/>
      <c r="F14" s="27"/>
      <c r="G14" s="27"/>
      <c r="H14" s="44"/>
      <c r="I14" s="49">
        <f>H14*Subsector!$S$11</f>
        <v>0</v>
      </c>
      <c r="J14" s="26">
        <f>H14*Subsector!$S$12</f>
        <v>0</v>
      </c>
      <c r="K14" s="26">
        <f>H14*Subsector!$S$13</f>
        <v>0</v>
      </c>
      <c r="L14" s="26">
        <f>H14*Subsector!$S$15</f>
        <v>0</v>
      </c>
      <c r="M14" s="26">
        <f>H14*Subsector!$S$16</f>
        <v>0</v>
      </c>
      <c r="N14" s="66">
        <f>H14*Subsector!$S$17</f>
        <v>0</v>
      </c>
      <c r="O14" s="41">
        <f t="shared" si="2"/>
        <v>0</v>
      </c>
      <c r="P14" s="26">
        <f t="shared" si="2"/>
        <v>0</v>
      </c>
      <c r="Q14" s="26">
        <f t="shared" si="3"/>
        <v>0</v>
      </c>
      <c r="R14" s="26">
        <f t="shared" si="4"/>
        <v>0</v>
      </c>
      <c r="S14" s="26">
        <f t="shared" si="5"/>
        <v>0</v>
      </c>
      <c r="T14" s="26">
        <f t="shared" si="5"/>
        <v>0</v>
      </c>
      <c r="U14" s="42">
        <f t="shared" si="6"/>
        <v>0</v>
      </c>
    </row>
    <row r="15" spans="1:21" ht="19.95" hidden="1" customHeight="1" x14ac:dyDescent="0.3">
      <c r="A15" s="52"/>
      <c r="B15" s="24"/>
      <c r="C15" s="24">
        <v>64016</v>
      </c>
      <c r="D15" s="25" t="s">
        <v>48</v>
      </c>
      <c r="E15" s="43"/>
      <c r="F15" s="27"/>
      <c r="G15" s="27"/>
      <c r="H15" s="44"/>
      <c r="I15" s="49">
        <f>H15*Subsector!$S$11</f>
        <v>0</v>
      </c>
      <c r="J15" s="26">
        <f>H15*Subsector!$S$12</f>
        <v>0</v>
      </c>
      <c r="K15" s="26">
        <f>H15*Subsector!$S$13</f>
        <v>0</v>
      </c>
      <c r="L15" s="26">
        <f>H15*Subsector!$S$15</f>
        <v>0</v>
      </c>
      <c r="M15" s="26">
        <f>H15*Subsector!$S$16</f>
        <v>0</v>
      </c>
      <c r="N15" s="66">
        <f>H15*Subsector!$S$17</f>
        <v>0</v>
      </c>
      <c r="O15" s="41">
        <f t="shared" si="2"/>
        <v>0</v>
      </c>
      <c r="P15" s="26">
        <f t="shared" si="2"/>
        <v>0</v>
      </c>
      <c r="Q15" s="26">
        <f t="shared" si="3"/>
        <v>0</v>
      </c>
      <c r="R15" s="26">
        <f t="shared" si="4"/>
        <v>0</v>
      </c>
      <c r="S15" s="26">
        <f t="shared" si="5"/>
        <v>0</v>
      </c>
      <c r="T15" s="26">
        <f t="shared" si="5"/>
        <v>0</v>
      </c>
      <c r="U15" s="42">
        <f t="shared" si="6"/>
        <v>0</v>
      </c>
    </row>
    <row r="16" spans="1:21" ht="19.95" hidden="1" customHeight="1" x14ac:dyDescent="0.3">
      <c r="A16" s="52"/>
      <c r="B16" s="24"/>
      <c r="C16" s="24">
        <v>64017</v>
      </c>
      <c r="D16" s="25" t="s">
        <v>49</v>
      </c>
      <c r="E16" s="43"/>
      <c r="F16" s="27"/>
      <c r="G16" s="27"/>
      <c r="H16" s="44"/>
      <c r="I16" s="49">
        <f>H16*Subsector!$S$11</f>
        <v>0</v>
      </c>
      <c r="J16" s="26">
        <f>H16*Subsector!$S$12</f>
        <v>0</v>
      </c>
      <c r="K16" s="26">
        <f>H16*Subsector!$S$13</f>
        <v>0</v>
      </c>
      <c r="L16" s="26">
        <f>H16*Subsector!$S$15</f>
        <v>0</v>
      </c>
      <c r="M16" s="26">
        <f>H16*Subsector!$S$16</f>
        <v>0</v>
      </c>
      <c r="N16" s="66">
        <f>H16*Subsector!$S$17</f>
        <v>0</v>
      </c>
      <c r="O16" s="41">
        <f t="shared" si="2"/>
        <v>0</v>
      </c>
      <c r="P16" s="26">
        <f t="shared" si="2"/>
        <v>0</v>
      </c>
      <c r="Q16" s="26">
        <f t="shared" si="3"/>
        <v>0</v>
      </c>
      <c r="R16" s="26">
        <f t="shared" si="4"/>
        <v>0</v>
      </c>
      <c r="S16" s="26">
        <f t="shared" si="5"/>
        <v>0</v>
      </c>
      <c r="T16" s="26">
        <f t="shared" si="5"/>
        <v>0</v>
      </c>
      <c r="U16" s="42">
        <f t="shared" si="6"/>
        <v>0</v>
      </c>
    </row>
    <row r="17" spans="1:21" ht="19.95" hidden="1" customHeight="1" x14ac:dyDescent="0.3">
      <c r="A17" s="52"/>
      <c r="B17" s="24"/>
      <c r="C17" s="24">
        <v>64018</v>
      </c>
      <c r="D17" s="25" t="s">
        <v>50</v>
      </c>
      <c r="E17" s="43"/>
      <c r="F17" s="27"/>
      <c r="G17" s="27"/>
      <c r="H17" s="44"/>
      <c r="I17" s="49">
        <f>H17*Subsector!$S$11</f>
        <v>0</v>
      </c>
      <c r="J17" s="26">
        <f>H17*Subsector!$S$12</f>
        <v>0</v>
      </c>
      <c r="K17" s="26">
        <f>H17*Subsector!$S$13</f>
        <v>0</v>
      </c>
      <c r="L17" s="26">
        <f>H17*Subsector!$S$15</f>
        <v>0</v>
      </c>
      <c r="M17" s="26">
        <f>H17*Subsector!$S$16</f>
        <v>0</v>
      </c>
      <c r="N17" s="66">
        <f>H17*Subsector!$S$17</f>
        <v>0</v>
      </c>
      <c r="O17" s="41">
        <f t="shared" si="2"/>
        <v>0</v>
      </c>
      <c r="P17" s="26">
        <f t="shared" si="2"/>
        <v>0</v>
      </c>
      <c r="Q17" s="26">
        <f t="shared" si="3"/>
        <v>0</v>
      </c>
      <c r="R17" s="26">
        <f t="shared" si="4"/>
        <v>0</v>
      </c>
      <c r="S17" s="26">
        <f t="shared" si="5"/>
        <v>0</v>
      </c>
      <c r="T17" s="26">
        <f t="shared" si="5"/>
        <v>0</v>
      </c>
      <c r="U17" s="42">
        <f t="shared" si="6"/>
        <v>0</v>
      </c>
    </row>
    <row r="18" spans="1:21" ht="19.95" customHeight="1" x14ac:dyDescent="0.3">
      <c r="A18" s="51"/>
      <c r="B18" s="23">
        <v>6402</v>
      </c>
      <c r="C18" s="23"/>
      <c r="D18" s="21" t="s">
        <v>51</v>
      </c>
      <c r="E18" s="39">
        <f>SUM(E19:E26)</f>
        <v>0</v>
      </c>
      <c r="F18" s="22">
        <f t="shared" ref="F18:U18" si="7">SUM(F19:F26)</f>
        <v>2045.6</v>
      </c>
      <c r="G18" s="22">
        <f t="shared" si="7"/>
        <v>0</v>
      </c>
      <c r="H18" s="40">
        <f t="shared" si="7"/>
        <v>111.60000000000001</v>
      </c>
      <c r="I18" s="36">
        <f t="shared" si="7"/>
        <v>0.39564056545533621</v>
      </c>
      <c r="J18" s="22">
        <f t="shared" si="7"/>
        <v>67.172849391643211</v>
      </c>
      <c r="K18" s="22">
        <f t="shared" si="7"/>
        <v>42.09894686939149</v>
      </c>
      <c r="L18" s="22">
        <f t="shared" si="7"/>
        <v>1.4011664404810587</v>
      </c>
      <c r="M18" s="22">
        <f t="shared" si="7"/>
        <v>0</v>
      </c>
      <c r="N18" s="65">
        <f t="shared" si="7"/>
        <v>0.5313967330289161</v>
      </c>
      <c r="O18" s="39">
        <f t="shared" si="7"/>
        <v>0.5</v>
      </c>
      <c r="P18" s="22">
        <f t="shared" si="7"/>
        <v>2112.9</v>
      </c>
      <c r="Q18" s="22">
        <f t="shared" si="7"/>
        <v>42.3</v>
      </c>
      <c r="R18" s="22">
        <f t="shared" si="7"/>
        <v>1.6</v>
      </c>
      <c r="S18" s="22">
        <f t="shared" si="7"/>
        <v>0</v>
      </c>
      <c r="T18" s="22">
        <f t="shared" si="7"/>
        <v>0.70000000000000007</v>
      </c>
      <c r="U18" s="40">
        <f t="shared" si="7"/>
        <v>2158</v>
      </c>
    </row>
    <row r="19" spans="1:21" ht="19.95" customHeight="1" x14ac:dyDescent="0.3">
      <c r="A19" s="52"/>
      <c r="B19" s="24"/>
      <c r="C19" s="24">
        <v>64021</v>
      </c>
      <c r="D19" s="25" t="s">
        <v>52</v>
      </c>
      <c r="E19" s="43"/>
      <c r="F19" s="27">
        <v>749.6</v>
      </c>
      <c r="G19" s="27">
        <v>0</v>
      </c>
      <c r="H19" s="44">
        <v>55.800000000000004</v>
      </c>
      <c r="I19" s="49">
        <f>H19*Subsector!$S$11</f>
        <v>0.19782028272766813</v>
      </c>
      <c r="J19" s="26">
        <f>H19*Subsector!$S$12</f>
        <v>33.586424695821606</v>
      </c>
      <c r="K19" s="26">
        <f>H19*Subsector!$S$13</f>
        <v>21.049473434695745</v>
      </c>
      <c r="L19" s="26">
        <f>H19*Subsector!$S$15</f>
        <v>0.70058322024052944</v>
      </c>
      <c r="M19" s="26">
        <f>H19*Subsector!$S$16</f>
        <v>0</v>
      </c>
      <c r="N19" s="66">
        <f>H19*Subsector!$S$17</f>
        <v>0.26569836651445805</v>
      </c>
      <c r="O19" s="41">
        <f t="shared" ref="O19:P26" si="8">ROUNDUP(SUM(E19,I19),1)</f>
        <v>0.2</v>
      </c>
      <c r="P19" s="26">
        <f t="shared" si="8"/>
        <v>783.2</v>
      </c>
      <c r="Q19" s="26">
        <f t="shared" ref="Q19:Q26" si="9">ROUNDUP(SUM(K19),1)</f>
        <v>21.1</v>
      </c>
      <c r="R19" s="26">
        <f t="shared" ref="R19:R26" si="10">ROUNDUP(SUM(G19,L19),1)</f>
        <v>0.79999999999999993</v>
      </c>
      <c r="S19" s="26">
        <f t="shared" ref="S19:T26" si="11">ROUNDUP(SUM(M19),1)</f>
        <v>0</v>
      </c>
      <c r="T19" s="26">
        <f t="shared" si="11"/>
        <v>0.30000000000000004</v>
      </c>
      <c r="U19" s="42">
        <f t="shared" ref="U19:U26" si="12">SUM(O19:T19)</f>
        <v>805.6</v>
      </c>
    </row>
    <row r="20" spans="1:21" ht="19.95" customHeight="1" x14ac:dyDescent="0.3">
      <c r="A20" s="52"/>
      <c r="B20" s="24"/>
      <c r="C20" s="24">
        <v>64022</v>
      </c>
      <c r="D20" s="25" t="s">
        <v>53</v>
      </c>
      <c r="E20" s="43"/>
      <c r="F20" s="27">
        <v>759.9</v>
      </c>
      <c r="G20" s="27">
        <v>0</v>
      </c>
      <c r="H20" s="44">
        <v>48.6</v>
      </c>
      <c r="I20" s="49">
        <f>H20*Subsector!$S$11</f>
        <v>0.17229508495635609</v>
      </c>
      <c r="J20" s="26">
        <f>H20*Subsector!$S$12</f>
        <v>29.252692477005912</v>
      </c>
      <c r="K20" s="26">
        <f>H20*Subsector!$S$13</f>
        <v>18.333412346347906</v>
      </c>
      <c r="L20" s="26">
        <f>H20*Subsector!$S$15</f>
        <v>0.61018538537078371</v>
      </c>
      <c r="M20" s="26">
        <f>H20*Subsector!$S$16</f>
        <v>0</v>
      </c>
      <c r="N20" s="66">
        <f>H20*Subsector!$S$17</f>
        <v>0.23141470631904409</v>
      </c>
      <c r="O20" s="41">
        <f t="shared" si="8"/>
        <v>0.2</v>
      </c>
      <c r="P20" s="26">
        <f t="shared" si="8"/>
        <v>789.2</v>
      </c>
      <c r="Q20" s="26">
        <f t="shared" si="9"/>
        <v>18.400000000000002</v>
      </c>
      <c r="R20" s="26">
        <f t="shared" si="10"/>
        <v>0.7</v>
      </c>
      <c r="S20" s="26">
        <f t="shared" si="11"/>
        <v>0</v>
      </c>
      <c r="T20" s="26">
        <f t="shared" si="11"/>
        <v>0.30000000000000004</v>
      </c>
      <c r="U20" s="42">
        <f t="shared" si="12"/>
        <v>808.80000000000007</v>
      </c>
    </row>
    <row r="21" spans="1:21" ht="19.95" customHeight="1" x14ac:dyDescent="0.3">
      <c r="A21" s="52"/>
      <c r="B21" s="24"/>
      <c r="C21" s="24">
        <v>64023</v>
      </c>
      <c r="D21" s="25" t="s">
        <v>54</v>
      </c>
      <c r="E21" s="43"/>
      <c r="F21" s="27">
        <v>418.8</v>
      </c>
      <c r="G21" s="27">
        <v>0</v>
      </c>
      <c r="H21" s="44">
        <v>0</v>
      </c>
      <c r="I21" s="49">
        <f>H21*Subsector!$S$11</f>
        <v>0</v>
      </c>
      <c r="J21" s="26">
        <f>H21*Subsector!$S$12</f>
        <v>0</v>
      </c>
      <c r="K21" s="26">
        <f>H21*Subsector!$S$13</f>
        <v>0</v>
      </c>
      <c r="L21" s="26">
        <f>H21*Subsector!$S$15</f>
        <v>0</v>
      </c>
      <c r="M21" s="26">
        <f>H21*Subsector!$S$16</f>
        <v>0</v>
      </c>
      <c r="N21" s="66">
        <f>H21*Subsector!$S$17</f>
        <v>0</v>
      </c>
      <c r="O21" s="41">
        <f t="shared" si="8"/>
        <v>0</v>
      </c>
      <c r="P21" s="26">
        <f t="shared" si="8"/>
        <v>418.8</v>
      </c>
      <c r="Q21" s="26">
        <f t="shared" si="9"/>
        <v>0</v>
      </c>
      <c r="R21" s="26">
        <f t="shared" si="10"/>
        <v>0</v>
      </c>
      <c r="S21" s="26">
        <f t="shared" si="11"/>
        <v>0</v>
      </c>
      <c r="T21" s="26">
        <f t="shared" si="11"/>
        <v>0</v>
      </c>
      <c r="U21" s="42">
        <f t="shared" si="12"/>
        <v>418.8</v>
      </c>
    </row>
    <row r="22" spans="1:21" ht="19.95" customHeight="1" x14ac:dyDescent="0.3">
      <c r="A22" s="52"/>
      <c r="B22" s="24"/>
      <c r="C22" s="24">
        <v>64024</v>
      </c>
      <c r="D22" s="25" t="s">
        <v>55</v>
      </c>
      <c r="E22" s="43"/>
      <c r="F22" s="27"/>
      <c r="G22" s="27"/>
      <c r="H22" s="44"/>
      <c r="I22" s="49">
        <f>H22*Subsector!$S$11</f>
        <v>0</v>
      </c>
      <c r="J22" s="26">
        <f>H22*Subsector!$S$12</f>
        <v>0</v>
      </c>
      <c r="K22" s="26">
        <f>H22*Subsector!$S$13</f>
        <v>0</v>
      </c>
      <c r="L22" s="26">
        <f>H22*Subsector!$S$15</f>
        <v>0</v>
      </c>
      <c r="M22" s="26">
        <f>H22*Subsector!$S$16</f>
        <v>0</v>
      </c>
      <c r="N22" s="66">
        <f>H22*Subsector!$S$17</f>
        <v>0</v>
      </c>
      <c r="O22" s="41">
        <f t="shared" si="8"/>
        <v>0</v>
      </c>
      <c r="P22" s="26">
        <f t="shared" si="8"/>
        <v>0</v>
      </c>
      <c r="Q22" s="26">
        <f t="shared" si="9"/>
        <v>0</v>
      </c>
      <c r="R22" s="26">
        <f t="shared" si="10"/>
        <v>0</v>
      </c>
      <c r="S22" s="26">
        <f t="shared" si="11"/>
        <v>0</v>
      </c>
      <c r="T22" s="26">
        <f t="shared" si="11"/>
        <v>0</v>
      </c>
      <c r="U22" s="42">
        <f t="shared" si="12"/>
        <v>0</v>
      </c>
    </row>
    <row r="23" spans="1:21" ht="19.95" customHeight="1" x14ac:dyDescent="0.3">
      <c r="A23" s="52"/>
      <c r="B23" s="24"/>
      <c r="C23" s="24">
        <v>64025</v>
      </c>
      <c r="D23" s="25" t="s">
        <v>56</v>
      </c>
      <c r="E23" s="43"/>
      <c r="F23" s="27"/>
      <c r="G23" s="27"/>
      <c r="H23" s="44"/>
      <c r="I23" s="49">
        <f>H23*Subsector!$S$11</f>
        <v>0</v>
      </c>
      <c r="J23" s="26">
        <f>H23*Subsector!$S$12</f>
        <v>0</v>
      </c>
      <c r="K23" s="26">
        <f>H23*Subsector!$S$13</f>
        <v>0</v>
      </c>
      <c r="L23" s="26">
        <f>H23*Subsector!$S$15</f>
        <v>0</v>
      </c>
      <c r="M23" s="26">
        <f>H23*Subsector!$S$16</f>
        <v>0</v>
      </c>
      <c r="N23" s="66">
        <f>H23*Subsector!$S$17</f>
        <v>0</v>
      </c>
      <c r="O23" s="41">
        <f t="shared" si="8"/>
        <v>0</v>
      </c>
      <c r="P23" s="26">
        <f t="shared" si="8"/>
        <v>0</v>
      </c>
      <c r="Q23" s="26">
        <f t="shared" si="9"/>
        <v>0</v>
      </c>
      <c r="R23" s="26">
        <f t="shared" si="10"/>
        <v>0</v>
      </c>
      <c r="S23" s="26">
        <f t="shared" si="11"/>
        <v>0</v>
      </c>
      <c r="T23" s="26">
        <f t="shared" si="11"/>
        <v>0</v>
      </c>
      <c r="U23" s="42">
        <f t="shared" si="12"/>
        <v>0</v>
      </c>
    </row>
    <row r="24" spans="1:21" ht="19.95" customHeight="1" x14ac:dyDescent="0.3">
      <c r="A24" s="52"/>
      <c r="B24" s="24"/>
      <c r="C24" s="24">
        <v>64026</v>
      </c>
      <c r="D24" s="25" t="s">
        <v>57</v>
      </c>
      <c r="E24" s="43"/>
      <c r="F24" s="27">
        <v>117.3</v>
      </c>
      <c r="G24" s="27">
        <v>0</v>
      </c>
      <c r="H24" s="44">
        <v>7.2</v>
      </c>
      <c r="I24" s="49">
        <f>H24*Subsector!$S$11</f>
        <v>2.5525197771312014E-2</v>
      </c>
      <c r="J24" s="26">
        <f>H24*Subsector!$S$12</f>
        <v>4.3337322188156904</v>
      </c>
      <c r="K24" s="26">
        <f>H24*Subsector!$S$13</f>
        <v>2.7160610883478382</v>
      </c>
      <c r="L24" s="26">
        <f>H24*Subsector!$S$15</f>
        <v>9.039783486974573E-2</v>
      </c>
      <c r="M24" s="26">
        <f>H24*Subsector!$S$16</f>
        <v>0</v>
      </c>
      <c r="N24" s="66">
        <f>H24*Subsector!$S$17</f>
        <v>3.4283660195413936E-2</v>
      </c>
      <c r="O24" s="41">
        <f t="shared" si="8"/>
        <v>0.1</v>
      </c>
      <c r="P24" s="26">
        <f t="shared" si="8"/>
        <v>121.69999999999999</v>
      </c>
      <c r="Q24" s="26">
        <f t="shared" si="9"/>
        <v>2.8000000000000003</v>
      </c>
      <c r="R24" s="26">
        <f t="shared" si="10"/>
        <v>0.1</v>
      </c>
      <c r="S24" s="26">
        <f t="shared" si="11"/>
        <v>0</v>
      </c>
      <c r="T24" s="26">
        <f t="shared" si="11"/>
        <v>0.1</v>
      </c>
      <c r="U24" s="42">
        <f t="shared" si="12"/>
        <v>124.79999999999997</v>
      </c>
    </row>
    <row r="25" spans="1:21" ht="19.95" hidden="1" customHeight="1" x14ac:dyDescent="0.3">
      <c r="A25" s="52"/>
      <c r="B25" s="24"/>
      <c r="C25" s="24">
        <v>64027</v>
      </c>
      <c r="D25" s="25" t="s">
        <v>58</v>
      </c>
      <c r="E25" s="43"/>
      <c r="F25" s="27"/>
      <c r="G25" s="27"/>
      <c r="H25" s="44"/>
      <c r="I25" s="49">
        <f>H25*Subsector!$S$11</f>
        <v>0</v>
      </c>
      <c r="J25" s="26">
        <f>H25*Subsector!$S$12</f>
        <v>0</v>
      </c>
      <c r="K25" s="26">
        <f>H25*Subsector!$S$13</f>
        <v>0</v>
      </c>
      <c r="L25" s="26">
        <f>H25*Subsector!$S$15</f>
        <v>0</v>
      </c>
      <c r="M25" s="26">
        <f>H25*Subsector!$S$16</f>
        <v>0</v>
      </c>
      <c r="N25" s="66">
        <f>H25*Subsector!$S$17</f>
        <v>0</v>
      </c>
      <c r="O25" s="41">
        <f t="shared" si="8"/>
        <v>0</v>
      </c>
      <c r="P25" s="26">
        <f t="shared" si="8"/>
        <v>0</v>
      </c>
      <c r="Q25" s="26">
        <f t="shared" si="9"/>
        <v>0</v>
      </c>
      <c r="R25" s="26">
        <f t="shared" si="10"/>
        <v>0</v>
      </c>
      <c r="S25" s="26">
        <f t="shared" si="11"/>
        <v>0</v>
      </c>
      <c r="T25" s="26">
        <f t="shared" si="11"/>
        <v>0</v>
      </c>
      <c r="U25" s="42">
        <f t="shared" si="12"/>
        <v>0</v>
      </c>
    </row>
    <row r="26" spans="1:21" ht="19.95" hidden="1" customHeight="1" x14ac:dyDescent="0.3">
      <c r="A26" s="52"/>
      <c r="B26" s="24"/>
      <c r="C26" s="24">
        <v>64028</v>
      </c>
      <c r="D26" s="25" t="s">
        <v>59</v>
      </c>
      <c r="E26" s="43"/>
      <c r="F26" s="27"/>
      <c r="G26" s="27"/>
      <c r="H26" s="44"/>
      <c r="I26" s="49">
        <f>H26*Subsector!$S$11</f>
        <v>0</v>
      </c>
      <c r="J26" s="26">
        <f>H26*Subsector!$S$12</f>
        <v>0</v>
      </c>
      <c r="K26" s="26">
        <f>H26*Subsector!$S$13</f>
        <v>0</v>
      </c>
      <c r="L26" s="26">
        <f>H26*Subsector!$S$15</f>
        <v>0</v>
      </c>
      <c r="M26" s="26">
        <f>H26*Subsector!$S$16</f>
        <v>0</v>
      </c>
      <c r="N26" s="66">
        <f>H26*Subsector!$S$17</f>
        <v>0</v>
      </c>
      <c r="O26" s="41">
        <f t="shared" si="8"/>
        <v>0</v>
      </c>
      <c r="P26" s="26">
        <f t="shared" si="8"/>
        <v>0</v>
      </c>
      <c r="Q26" s="26">
        <f t="shared" si="9"/>
        <v>0</v>
      </c>
      <c r="R26" s="26">
        <f t="shared" si="10"/>
        <v>0</v>
      </c>
      <c r="S26" s="26">
        <f t="shared" si="11"/>
        <v>0</v>
      </c>
      <c r="T26" s="26">
        <f t="shared" si="11"/>
        <v>0</v>
      </c>
      <c r="U26" s="42">
        <f t="shared" si="12"/>
        <v>0</v>
      </c>
    </row>
    <row r="27" spans="1:21" ht="19.95" hidden="1" customHeight="1" x14ac:dyDescent="0.3">
      <c r="A27" s="51"/>
      <c r="B27" s="23">
        <v>6403</v>
      </c>
      <c r="C27" s="23"/>
      <c r="D27" s="21" t="s">
        <v>60</v>
      </c>
      <c r="E27" s="39">
        <f>SUM(E28:E32)</f>
        <v>0</v>
      </c>
      <c r="F27" s="22">
        <f t="shared" ref="F27:U27" si="13">SUM(F28:F32)</f>
        <v>0</v>
      </c>
      <c r="G27" s="22">
        <f t="shared" si="13"/>
        <v>0</v>
      </c>
      <c r="H27" s="40">
        <f t="shared" si="13"/>
        <v>0</v>
      </c>
      <c r="I27" s="36">
        <f t="shared" si="13"/>
        <v>0</v>
      </c>
      <c r="J27" s="22">
        <f t="shared" si="13"/>
        <v>0</v>
      </c>
      <c r="K27" s="22">
        <f t="shared" si="13"/>
        <v>0</v>
      </c>
      <c r="L27" s="22">
        <f t="shared" si="13"/>
        <v>0</v>
      </c>
      <c r="M27" s="22">
        <f t="shared" si="13"/>
        <v>0</v>
      </c>
      <c r="N27" s="65">
        <f t="shared" si="13"/>
        <v>0</v>
      </c>
      <c r="O27" s="39">
        <f t="shared" si="13"/>
        <v>0</v>
      </c>
      <c r="P27" s="22">
        <f t="shared" si="13"/>
        <v>0</v>
      </c>
      <c r="Q27" s="22">
        <f t="shared" si="13"/>
        <v>0</v>
      </c>
      <c r="R27" s="22">
        <f t="shared" si="13"/>
        <v>0</v>
      </c>
      <c r="S27" s="22">
        <f t="shared" si="13"/>
        <v>0</v>
      </c>
      <c r="T27" s="22">
        <f t="shared" si="13"/>
        <v>0</v>
      </c>
      <c r="U27" s="40">
        <f t="shared" si="13"/>
        <v>0</v>
      </c>
    </row>
    <row r="28" spans="1:21" ht="19.95" hidden="1" customHeight="1" x14ac:dyDescent="0.3">
      <c r="A28" s="52"/>
      <c r="B28" s="24"/>
      <c r="C28" s="24">
        <v>64033</v>
      </c>
      <c r="D28" s="25" t="s">
        <v>61</v>
      </c>
      <c r="E28" s="43"/>
      <c r="F28" s="27"/>
      <c r="G28" s="27"/>
      <c r="H28" s="44"/>
      <c r="I28" s="49">
        <f>H28*Subsector!$S$11</f>
        <v>0</v>
      </c>
      <c r="J28" s="26">
        <f>H28*Subsector!$S$12</f>
        <v>0</v>
      </c>
      <c r="K28" s="26">
        <f>H28*Subsector!$S$13</f>
        <v>0</v>
      </c>
      <c r="L28" s="26">
        <f>H28*Subsector!$S$15</f>
        <v>0</v>
      </c>
      <c r="M28" s="26">
        <f>H28*Subsector!$S$16</f>
        <v>0</v>
      </c>
      <c r="N28" s="66">
        <f>H28*Subsector!$S$17</f>
        <v>0</v>
      </c>
      <c r="O28" s="41">
        <f t="shared" ref="O28:P32" si="14">ROUNDUP(SUM(E28,I28),1)</f>
        <v>0</v>
      </c>
      <c r="P28" s="26">
        <f t="shared" si="14"/>
        <v>0</v>
      </c>
      <c r="Q28" s="26">
        <f>ROUNDUP(SUM(K28),1)</f>
        <v>0</v>
      </c>
      <c r="R28" s="26">
        <f>ROUNDUP(SUM(G28,L28),1)</f>
        <v>0</v>
      </c>
      <c r="S28" s="26">
        <f t="shared" ref="S28:T32" si="15">ROUNDUP(SUM(M28),1)</f>
        <v>0</v>
      </c>
      <c r="T28" s="26">
        <f t="shared" si="15"/>
        <v>0</v>
      </c>
      <c r="U28" s="42">
        <f>SUM(O28:T28)</f>
        <v>0</v>
      </c>
    </row>
    <row r="29" spans="1:21" ht="19.95" hidden="1" customHeight="1" x14ac:dyDescent="0.3">
      <c r="A29" s="52"/>
      <c r="B29" s="24"/>
      <c r="C29" s="24">
        <v>64034</v>
      </c>
      <c r="D29" s="25" t="s">
        <v>62</v>
      </c>
      <c r="E29" s="43"/>
      <c r="F29" s="27"/>
      <c r="G29" s="27"/>
      <c r="H29" s="44"/>
      <c r="I29" s="49">
        <f>H29*Subsector!$S$11</f>
        <v>0</v>
      </c>
      <c r="J29" s="26">
        <f>H29*Subsector!$S$12</f>
        <v>0</v>
      </c>
      <c r="K29" s="26">
        <f>H29*Subsector!$S$13</f>
        <v>0</v>
      </c>
      <c r="L29" s="26">
        <f>H29*Subsector!$S$15</f>
        <v>0</v>
      </c>
      <c r="M29" s="26">
        <f>H29*Subsector!$S$16</f>
        <v>0</v>
      </c>
      <c r="N29" s="66">
        <f>H29*Subsector!$S$17</f>
        <v>0</v>
      </c>
      <c r="O29" s="41">
        <f t="shared" si="14"/>
        <v>0</v>
      </c>
      <c r="P29" s="26">
        <f t="shared" si="14"/>
        <v>0</v>
      </c>
      <c r="Q29" s="26">
        <f>ROUNDUP(SUM(K29),1)</f>
        <v>0</v>
      </c>
      <c r="R29" s="26">
        <f>ROUNDUP(SUM(G29,L29),1)</f>
        <v>0</v>
      </c>
      <c r="S29" s="26">
        <f t="shared" si="15"/>
        <v>0</v>
      </c>
      <c r="T29" s="26">
        <f t="shared" si="15"/>
        <v>0</v>
      </c>
      <c r="U29" s="42">
        <f>SUM(O29:T29)</f>
        <v>0</v>
      </c>
    </row>
    <row r="30" spans="1:21" ht="19.95" hidden="1" customHeight="1" x14ac:dyDescent="0.3">
      <c r="A30" s="52"/>
      <c r="B30" s="24"/>
      <c r="C30" s="24">
        <v>64035</v>
      </c>
      <c r="D30" s="25" t="s">
        <v>63</v>
      </c>
      <c r="E30" s="43"/>
      <c r="F30" s="27"/>
      <c r="G30" s="27"/>
      <c r="H30" s="44"/>
      <c r="I30" s="49">
        <f>H30*Subsector!$S$11</f>
        <v>0</v>
      </c>
      <c r="J30" s="26">
        <f>H30*Subsector!$S$12</f>
        <v>0</v>
      </c>
      <c r="K30" s="26">
        <f>H30*Subsector!$S$13</f>
        <v>0</v>
      </c>
      <c r="L30" s="26">
        <f>H30*Subsector!$S$15</f>
        <v>0</v>
      </c>
      <c r="M30" s="26">
        <f>H30*Subsector!$S$16</f>
        <v>0</v>
      </c>
      <c r="N30" s="66">
        <f>H30*Subsector!$S$17</f>
        <v>0</v>
      </c>
      <c r="O30" s="41">
        <f t="shared" si="14"/>
        <v>0</v>
      </c>
      <c r="P30" s="26">
        <f t="shared" si="14"/>
        <v>0</v>
      </c>
      <c r="Q30" s="26">
        <f>ROUNDUP(SUM(K30),1)</f>
        <v>0</v>
      </c>
      <c r="R30" s="26">
        <f>ROUNDUP(SUM(G30,L30),1)</f>
        <v>0</v>
      </c>
      <c r="S30" s="26">
        <f t="shared" si="15"/>
        <v>0</v>
      </c>
      <c r="T30" s="26">
        <f t="shared" si="15"/>
        <v>0</v>
      </c>
      <c r="U30" s="42">
        <f>SUM(O30:T30)</f>
        <v>0</v>
      </c>
    </row>
    <row r="31" spans="1:21" ht="19.95" hidden="1" customHeight="1" x14ac:dyDescent="0.3">
      <c r="A31" s="52"/>
      <c r="B31" s="24"/>
      <c r="C31" s="24">
        <v>64037</v>
      </c>
      <c r="D31" s="25" t="s">
        <v>64</v>
      </c>
      <c r="E31" s="43"/>
      <c r="F31" s="27"/>
      <c r="G31" s="27"/>
      <c r="H31" s="44"/>
      <c r="I31" s="49">
        <f>H31*Subsector!$S$11</f>
        <v>0</v>
      </c>
      <c r="J31" s="26">
        <f>H31*Subsector!$S$12</f>
        <v>0</v>
      </c>
      <c r="K31" s="26">
        <f>H31*Subsector!$S$13</f>
        <v>0</v>
      </c>
      <c r="L31" s="26">
        <f>H31*Subsector!$S$15</f>
        <v>0</v>
      </c>
      <c r="M31" s="26">
        <f>H31*Subsector!$S$16</f>
        <v>0</v>
      </c>
      <c r="N31" s="66">
        <f>H31*Subsector!$S$17</f>
        <v>0</v>
      </c>
      <c r="O31" s="41">
        <f t="shared" si="14"/>
        <v>0</v>
      </c>
      <c r="P31" s="26">
        <f t="shared" si="14"/>
        <v>0</v>
      </c>
      <c r="Q31" s="26">
        <f>ROUNDUP(SUM(K31),1)</f>
        <v>0</v>
      </c>
      <c r="R31" s="26">
        <f>ROUNDUP(SUM(G31,L31),1)</f>
        <v>0</v>
      </c>
      <c r="S31" s="26">
        <f t="shared" si="15"/>
        <v>0</v>
      </c>
      <c r="T31" s="26">
        <f t="shared" si="15"/>
        <v>0</v>
      </c>
      <c r="U31" s="42">
        <f>SUM(O31:T31)</f>
        <v>0</v>
      </c>
    </row>
    <row r="32" spans="1:21" ht="19.95" hidden="1" customHeight="1" x14ac:dyDescent="0.3">
      <c r="A32" s="52"/>
      <c r="B32" s="24"/>
      <c r="C32" s="24">
        <v>64038</v>
      </c>
      <c r="D32" s="25" t="s">
        <v>60</v>
      </c>
      <c r="E32" s="43"/>
      <c r="F32" s="27"/>
      <c r="G32" s="27"/>
      <c r="H32" s="44"/>
      <c r="I32" s="49">
        <f>H32*Subsector!$S$11</f>
        <v>0</v>
      </c>
      <c r="J32" s="26">
        <f>H32*Subsector!$S$12</f>
        <v>0</v>
      </c>
      <c r="K32" s="26">
        <f>H32*Subsector!$S$13</f>
        <v>0</v>
      </c>
      <c r="L32" s="26">
        <f>H32*Subsector!$S$15</f>
        <v>0</v>
      </c>
      <c r="M32" s="26">
        <f>H32*Subsector!$S$16</f>
        <v>0</v>
      </c>
      <c r="N32" s="66">
        <f>H32*Subsector!$S$17</f>
        <v>0</v>
      </c>
      <c r="O32" s="41">
        <f t="shared" si="14"/>
        <v>0</v>
      </c>
      <c r="P32" s="26">
        <f t="shared" si="14"/>
        <v>0</v>
      </c>
      <c r="Q32" s="26">
        <f>ROUNDUP(SUM(K32),1)</f>
        <v>0</v>
      </c>
      <c r="R32" s="26">
        <f>ROUNDUP(SUM(G32,L32),1)</f>
        <v>0</v>
      </c>
      <c r="S32" s="26">
        <f t="shared" si="15"/>
        <v>0</v>
      </c>
      <c r="T32" s="26">
        <f t="shared" si="15"/>
        <v>0</v>
      </c>
      <c r="U32" s="42">
        <f>SUM(O32:T32)</f>
        <v>0</v>
      </c>
    </row>
    <row r="33" spans="1:21" ht="19.95" customHeight="1" x14ac:dyDescent="0.3">
      <c r="A33" s="51"/>
      <c r="B33" s="23">
        <v>6404</v>
      </c>
      <c r="C33" s="23"/>
      <c r="D33" s="21" t="s">
        <v>65</v>
      </c>
      <c r="E33" s="39">
        <f>SUM(E34:E36)</f>
        <v>0</v>
      </c>
      <c r="F33" s="22">
        <f t="shared" ref="F33:U33" si="16">SUM(F34:F36)</f>
        <v>0</v>
      </c>
      <c r="G33" s="22">
        <f t="shared" si="16"/>
        <v>39.300000000000004</v>
      </c>
      <c r="H33" s="40">
        <f t="shared" si="16"/>
        <v>0</v>
      </c>
      <c r="I33" s="36">
        <f t="shared" si="16"/>
        <v>0</v>
      </c>
      <c r="J33" s="22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65">
        <f t="shared" si="16"/>
        <v>0</v>
      </c>
      <c r="O33" s="39">
        <f t="shared" si="16"/>
        <v>0</v>
      </c>
      <c r="P33" s="22">
        <f t="shared" si="16"/>
        <v>0</v>
      </c>
      <c r="Q33" s="22">
        <f t="shared" si="16"/>
        <v>0</v>
      </c>
      <c r="R33" s="22">
        <f t="shared" si="16"/>
        <v>39.299999999999997</v>
      </c>
      <c r="S33" s="22">
        <f t="shared" si="16"/>
        <v>0</v>
      </c>
      <c r="T33" s="22">
        <f t="shared" si="16"/>
        <v>0</v>
      </c>
      <c r="U33" s="40">
        <f t="shared" si="16"/>
        <v>39.299999999999997</v>
      </c>
    </row>
    <row r="34" spans="1:21" ht="19.95" customHeight="1" x14ac:dyDescent="0.3">
      <c r="A34" s="52"/>
      <c r="B34" s="24"/>
      <c r="C34" s="24">
        <v>64041</v>
      </c>
      <c r="D34" s="25" t="s">
        <v>66</v>
      </c>
      <c r="E34" s="43"/>
      <c r="F34" s="27">
        <v>0</v>
      </c>
      <c r="G34" s="27">
        <v>39.300000000000004</v>
      </c>
      <c r="H34" s="44">
        <v>0</v>
      </c>
      <c r="I34" s="49">
        <f>H34*Subsector!$S$11</f>
        <v>0</v>
      </c>
      <c r="J34" s="26">
        <f>H34*Subsector!$S$12</f>
        <v>0</v>
      </c>
      <c r="K34" s="26">
        <f>H34*Subsector!$S$13</f>
        <v>0</v>
      </c>
      <c r="L34" s="26">
        <f>H34*Subsector!$S$15</f>
        <v>0</v>
      </c>
      <c r="M34" s="26">
        <f>H34*Subsector!$S$16</f>
        <v>0</v>
      </c>
      <c r="N34" s="66">
        <f>H34*Subsector!$S$17</f>
        <v>0</v>
      </c>
      <c r="O34" s="41">
        <f t="shared" ref="O34:P36" si="17">ROUNDUP(SUM(E34,I34),1)</f>
        <v>0</v>
      </c>
      <c r="P34" s="26">
        <f t="shared" si="17"/>
        <v>0</v>
      </c>
      <c r="Q34" s="26">
        <f>ROUNDUP(SUM(K34),1)</f>
        <v>0</v>
      </c>
      <c r="R34" s="26">
        <f>ROUNDUP(SUM(G34,L34),1)</f>
        <v>39.299999999999997</v>
      </c>
      <c r="S34" s="26">
        <f t="shared" ref="S34:T36" si="18">ROUNDUP(SUM(M34),1)</f>
        <v>0</v>
      </c>
      <c r="T34" s="26">
        <f t="shared" si="18"/>
        <v>0</v>
      </c>
      <c r="U34" s="42">
        <f>SUM(O34:T34)</f>
        <v>39.299999999999997</v>
      </c>
    </row>
    <row r="35" spans="1:21" ht="19.95" customHeight="1" x14ac:dyDescent="0.3">
      <c r="A35" s="52"/>
      <c r="B35" s="24"/>
      <c r="C35" s="24">
        <v>64042</v>
      </c>
      <c r="D35" s="25" t="s">
        <v>67</v>
      </c>
      <c r="E35" s="43"/>
      <c r="F35" s="27"/>
      <c r="G35" s="27"/>
      <c r="H35" s="44"/>
      <c r="I35" s="49">
        <f>H35*Subsector!$S$11</f>
        <v>0</v>
      </c>
      <c r="J35" s="26">
        <f>H35*Subsector!$S$12</f>
        <v>0</v>
      </c>
      <c r="K35" s="26">
        <f>H35*Subsector!$S$13</f>
        <v>0</v>
      </c>
      <c r="L35" s="26">
        <f>H35*Subsector!$S$15</f>
        <v>0</v>
      </c>
      <c r="M35" s="26">
        <f>H35*Subsector!$S$16</f>
        <v>0</v>
      </c>
      <c r="N35" s="66">
        <f>H35*Subsector!$S$17</f>
        <v>0</v>
      </c>
      <c r="O35" s="41">
        <f t="shared" si="17"/>
        <v>0</v>
      </c>
      <c r="P35" s="26">
        <f t="shared" si="17"/>
        <v>0</v>
      </c>
      <c r="Q35" s="26">
        <f>ROUNDUP(SUM(K35),1)</f>
        <v>0</v>
      </c>
      <c r="R35" s="26">
        <f>ROUNDUP(SUM(G35,L35),1)</f>
        <v>0</v>
      </c>
      <c r="S35" s="26">
        <f t="shared" si="18"/>
        <v>0</v>
      </c>
      <c r="T35" s="26">
        <f t="shared" si="18"/>
        <v>0</v>
      </c>
      <c r="U35" s="42">
        <f>SUM(O35:T35)</f>
        <v>0</v>
      </c>
    </row>
    <row r="36" spans="1:21" ht="19.95" customHeight="1" x14ac:dyDescent="0.3">
      <c r="A36" s="53"/>
      <c r="B36" s="23"/>
      <c r="C36" s="24">
        <v>64048</v>
      </c>
      <c r="D36" s="25" t="s">
        <v>68</v>
      </c>
      <c r="E36" s="43"/>
      <c r="F36" s="27"/>
      <c r="G36" s="27"/>
      <c r="H36" s="44"/>
      <c r="I36" s="49">
        <f>H36*Subsector!$S$11</f>
        <v>0</v>
      </c>
      <c r="J36" s="26">
        <f>H36*Subsector!$S$12</f>
        <v>0</v>
      </c>
      <c r="K36" s="26">
        <f>H36*Subsector!$S$13</f>
        <v>0</v>
      </c>
      <c r="L36" s="26">
        <f>H36*Subsector!$S$15</f>
        <v>0</v>
      </c>
      <c r="M36" s="26">
        <f>H36*Subsector!$S$16</f>
        <v>0</v>
      </c>
      <c r="N36" s="66">
        <f>H36*Subsector!$S$17</f>
        <v>0</v>
      </c>
      <c r="O36" s="41">
        <f t="shared" si="17"/>
        <v>0</v>
      </c>
      <c r="P36" s="26">
        <f t="shared" si="17"/>
        <v>0</v>
      </c>
      <c r="Q36" s="26">
        <f>ROUNDUP(SUM(K36),1)</f>
        <v>0</v>
      </c>
      <c r="R36" s="26">
        <f>ROUNDUP(SUM(G36,L36),1)</f>
        <v>0</v>
      </c>
      <c r="S36" s="26">
        <f t="shared" si="18"/>
        <v>0</v>
      </c>
      <c r="T36" s="26">
        <f t="shared" si="18"/>
        <v>0</v>
      </c>
      <c r="U36" s="42">
        <f>SUM(O36:T36)</f>
        <v>0</v>
      </c>
    </row>
    <row r="37" spans="1:21" ht="19.95" customHeight="1" x14ac:dyDescent="0.3">
      <c r="A37" s="54"/>
      <c r="B37" s="23">
        <v>6405</v>
      </c>
      <c r="C37" s="23"/>
      <c r="D37" s="21" t="s">
        <v>69</v>
      </c>
      <c r="E37" s="39">
        <f>SUM(E38:E44)</f>
        <v>0</v>
      </c>
      <c r="F37" s="22">
        <f t="shared" ref="F37:U37" si="19">SUM(F38:F44)</f>
        <v>19.399999999999999</v>
      </c>
      <c r="G37" s="22">
        <f t="shared" si="19"/>
        <v>0</v>
      </c>
      <c r="H37" s="40">
        <f t="shared" si="19"/>
        <v>0</v>
      </c>
      <c r="I37" s="36">
        <f t="shared" si="19"/>
        <v>0</v>
      </c>
      <c r="J37" s="22">
        <f t="shared" si="19"/>
        <v>0</v>
      </c>
      <c r="K37" s="22">
        <f t="shared" si="19"/>
        <v>0</v>
      </c>
      <c r="L37" s="22">
        <f t="shared" si="19"/>
        <v>0</v>
      </c>
      <c r="M37" s="22">
        <f t="shared" si="19"/>
        <v>0</v>
      </c>
      <c r="N37" s="65">
        <f t="shared" si="19"/>
        <v>0</v>
      </c>
      <c r="O37" s="39">
        <f t="shared" si="19"/>
        <v>0</v>
      </c>
      <c r="P37" s="22">
        <f t="shared" si="19"/>
        <v>19.399999999999999</v>
      </c>
      <c r="Q37" s="22">
        <f t="shared" si="19"/>
        <v>0</v>
      </c>
      <c r="R37" s="22">
        <f t="shared" si="19"/>
        <v>0</v>
      </c>
      <c r="S37" s="22">
        <f t="shared" si="19"/>
        <v>0</v>
      </c>
      <c r="T37" s="22">
        <f t="shared" si="19"/>
        <v>0</v>
      </c>
      <c r="U37" s="40">
        <f t="shared" si="19"/>
        <v>19.399999999999999</v>
      </c>
    </row>
    <row r="38" spans="1:21" ht="19.95" customHeight="1" x14ac:dyDescent="0.3">
      <c r="A38" s="55"/>
      <c r="B38" s="23"/>
      <c r="C38" s="24">
        <v>64051</v>
      </c>
      <c r="D38" s="25" t="s">
        <v>70</v>
      </c>
      <c r="E38" s="43"/>
      <c r="F38" s="27"/>
      <c r="G38" s="27"/>
      <c r="H38" s="44"/>
      <c r="I38" s="49">
        <f>H38*Subsector!$S$11</f>
        <v>0</v>
      </c>
      <c r="J38" s="26">
        <f>H38*Subsector!$S$12</f>
        <v>0</v>
      </c>
      <c r="K38" s="26">
        <f>H38*Subsector!$S$13</f>
        <v>0</v>
      </c>
      <c r="L38" s="26">
        <f>H38*Subsector!$S$15</f>
        <v>0</v>
      </c>
      <c r="M38" s="26">
        <f>H38*Subsector!$S$16</f>
        <v>0</v>
      </c>
      <c r="N38" s="66">
        <f>H38*Subsector!$S$17</f>
        <v>0</v>
      </c>
      <c r="O38" s="41">
        <f t="shared" ref="O38:P44" si="20">ROUNDUP(SUM(E38,I38),1)</f>
        <v>0</v>
      </c>
      <c r="P38" s="26">
        <f t="shared" si="20"/>
        <v>0</v>
      </c>
      <c r="Q38" s="26">
        <f t="shared" ref="Q38:Q44" si="21">ROUNDUP(SUM(K38),1)</f>
        <v>0</v>
      </c>
      <c r="R38" s="26">
        <f t="shared" ref="R38:R44" si="22">ROUNDUP(SUM(G38,L38),1)</f>
        <v>0</v>
      </c>
      <c r="S38" s="26">
        <f t="shared" ref="S38:T44" si="23">ROUNDUP(SUM(M38),1)</f>
        <v>0</v>
      </c>
      <c r="T38" s="26">
        <f t="shared" si="23"/>
        <v>0</v>
      </c>
      <c r="U38" s="42">
        <f t="shared" ref="U38:U44" si="24">SUM(O38:T38)</f>
        <v>0</v>
      </c>
    </row>
    <row r="39" spans="1:21" ht="19.95" customHeight="1" x14ac:dyDescent="0.3">
      <c r="A39" s="55"/>
      <c r="B39" s="24"/>
      <c r="C39" s="24">
        <v>64052</v>
      </c>
      <c r="D39" s="25" t="s">
        <v>71</v>
      </c>
      <c r="E39" s="43"/>
      <c r="F39" s="27">
        <v>4.8</v>
      </c>
      <c r="G39" s="27">
        <v>0</v>
      </c>
      <c r="H39" s="44">
        <v>0</v>
      </c>
      <c r="I39" s="49">
        <f>H39*Subsector!$S$11</f>
        <v>0</v>
      </c>
      <c r="J39" s="26">
        <f>H39*Subsector!$S$12</f>
        <v>0</v>
      </c>
      <c r="K39" s="26">
        <f>H39*Subsector!$S$13</f>
        <v>0</v>
      </c>
      <c r="L39" s="26">
        <f>H39*Subsector!$S$15</f>
        <v>0</v>
      </c>
      <c r="M39" s="26">
        <f>H39*Subsector!$S$16</f>
        <v>0</v>
      </c>
      <c r="N39" s="66">
        <f>H39*Subsector!$S$17</f>
        <v>0</v>
      </c>
      <c r="O39" s="41">
        <f t="shared" si="20"/>
        <v>0</v>
      </c>
      <c r="P39" s="26">
        <f t="shared" si="20"/>
        <v>4.8</v>
      </c>
      <c r="Q39" s="26">
        <f t="shared" si="21"/>
        <v>0</v>
      </c>
      <c r="R39" s="26">
        <f t="shared" si="22"/>
        <v>0</v>
      </c>
      <c r="S39" s="26">
        <f t="shared" si="23"/>
        <v>0</v>
      </c>
      <c r="T39" s="26">
        <f t="shared" si="23"/>
        <v>0</v>
      </c>
      <c r="U39" s="42">
        <f t="shared" si="24"/>
        <v>4.8</v>
      </c>
    </row>
    <row r="40" spans="1:21" ht="19.95" customHeight="1" x14ac:dyDescent="0.3">
      <c r="A40" s="55"/>
      <c r="B40" s="24"/>
      <c r="C40" s="24">
        <v>64053</v>
      </c>
      <c r="D40" s="25" t="s">
        <v>72</v>
      </c>
      <c r="E40" s="43"/>
      <c r="F40" s="27">
        <v>14.6</v>
      </c>
      <c r="G40" s="27">
        <v>0</v>
      </c>
      <c r="H40" s="44">
        <v>0</v>
      </c>
      <c r="I40" s="49">
        <f>H40*Subsector!$S$11</f>
        <v>0</v>
      </c>
      <c r="J40" s="26">
        <f>H40*Subsector!$S$12</f>
        <v>0</v>
      </c>
      <c r="K40" s="26">
        <f>H40*Subsector!$S$13</f>
        <v>0</v>
      </c>
      <c r="L40" s="26">
        <f>H40*Subsector!$S$15</f>
        <v>0</v>
      </c>
      <c r="M40" s="26">
        <f>H40*Subsector!$S$16</f>
        <v>0</v>
      </c>
      <c r="N40" s="66">
        <f>H40*Subsector!$S$17</f>
        <v>0</v>
      </c>
      <c r="O40" s="41">
        <f t="shared" si="20"/>
        <v>0</v>
      </c>
      <c r="P40" s="26">
        <f t="shared" si="20"/>
        <v>14.6</v>
      </c>
      <c r="Q40" s="26">
        <f t="shared" si="21"/>
        <v>0</v>
      </c>
      <c r="R40" s="26">
        <f t="shared" si="22"/>
        <v>0</v>
      </c>
      <c r="S40" s="26">
        <f t="shared" si="23"/>
        <v>0</v>
      </c>
      <c r="T40" s="26">
        <f t="shared" si="23"/>
        <v>0</v>
      </c>
      <c r="U40" s="42">
        <f t="shared" si="24"/>
        <v>14.6</v>
      </c>
    </row>
    <row r="41" spans="1:21" ht="19.95" customHeight="1" x14ac:dyDescent="0.3">
      <c r="A41" s="55"/>
      <c r="B41" s="24"/>
      <c r="C41" s="24">
        <v>64054</v>
      </c>
      <c r="D41" s="25" t="s">
        <v>73</v>
      </c>
      <c r="E41" s="43"/>
      <c r="F41" s="27">
        <v>0</v>
      </c>
      <c r="G41" s="27">
        <v>0</v>
      </c>
      <c r="H41" s="44">
        <v>0</v>
      </c>
      <c r="I41" s="49">
        <f>H41*Subsector!$S$11</f>
        <v>0</v>
      </c>
      <c r="J41" s="26">
        <f>H41*Subsector!$S$12</f>
        <v>0</v>
      </c>
      <c r="K41" s="26">
        <f>H41*Subsector!$S$13</f>
        <v>0</v>
      </c>
      <c r="L41" s="26">
        <f>H41*Subsector!$S$15</f>
        <v>0</v>
      </c>
      <c r="M41" s="26">
        <f>H41*Subsector!$S$16</f>
        <v>0</v>
      </c>
      <c r="N41" s="66">
        <f>H41*Subsector!$S$17</f>
        <v>0</v>
      </c>
      <c r="O41" s="41">
        <f t="shared" si="20"/>
        <v>0</v>
      </c>
      <c r="P41" s="26">
        <f t="shared" si="20"/>
        <v>0</v>
      </c>
      <c r="Q41" s="26">
        <f t="shared" si="21"/>
        <v>0</v>
      </c>
      <c r="R41" s="26">
        <f t="shared" si="22"/>
        <v>0</v>
      </c>
      <c r="S41" s="26">
        <f t="shared" si="23"/>
        <v>0</v>
      </c>
      <c r="T41" s="26">
        <f t="shared" si="23"/>
        <v>0</v>
      </c>
      <c r="U41" s="42">
        <f t="shared" si="24"/>
        <v>0</v>
      </c>
    </row>
    <row r="42" spans="1:21" ht="19.95" hidden="1" customHeight="1" x14ac:dyDescent="0.3">
      <c r="A42" s="55"/>
      <c r="B42" s="24"/>
      <c r="C42" s="24">
        <v>64055</v>
      </c>
      <c r="D42" s="25" t="s">
        <v>74</v>
      </c>
      <c r="E42" s="43"/>
      <c r="F42" s="27"/>
      <c r="G42" s="27"/>
      <c r="H42" s="44"/>
      <c r="I42" s="49">
        <f>H42*Subsector!$S$11</f>
        <v>0</v>
      </c>
      <c r="J42" s="26">
        <f>H42*Subsector!$S$12</f>
        <v>0</v>
      </c>
      <c r="K42" s="26">
        <f>H42*Subsector!$S$13</f>
        <v>0</v>
      </c>
      <c r="L42" s="26">
        <f>H42*Subsector!$S$15</f>
        <v>0</v>
      </c>
      <c r="M42" s="26">
        <f>H42*Subsector!$S$16</f>
        <v>0</v>
      </c>
      <c r="N42" s="66">
        <f>H42*Subsector!$S$17</f>
        <v>0</v>
      </c>
      <c r="O42" s="41">
        <f t="shared" si="20"/>
        <v>0</v>
      </c>
      <c r="P42" s="26">
        <f t="shared" si="20"/>
        <v>0</v>
      </c>
      <c r="Q42" s="26">
        <f t="shared" si="21"/>
        <v>0</v>
      </c>
      <c r="R42" s="26">
        <f t="shared" si="22"/>
        <v>0</v>
      </c>
      <c r="S42" s="26">
        <f t="shared" si="23"/>
        <v>0</v>
      </c>
      <c r="T42" s="26">
        <f t="shared" si="23"/>
        <v>0</v>
      </c>
      <c r="U42" s="42">
        <f t="shared" si="24"/>
        <v>0</v>
      </c>
    </row>
    <row r="43" spans="1:21" ht="19.95" hidden="1" customHeight="1" x14ac:dyDescent="0.3">
      <c r="A43" s="55"/>
      <c r="B43" s="24"/>
      <c r="C43" s="24">
        <v>64056</v>
      </c>
      <c r="D43" s="25" t="s">
        <v>75</v>
      </c>
      <c r="E43" s="43"/>
      <c r="F43" s="27"/>
      <c r="G43" s="27"/>
      <c r="H43" s="44"/>
      <c r="I43" s="49">
        <f>H43*Subsector!$S$11</f>
        <v>0</v>
      </c>
      <c r="J43" s="26">
        <f>H43*Subsector!$S$12</f>
        <v>0</v>
      </c>
      <c r="K43" s="26">
        <f>H43*Subsector!$S$13</f>
        <v>0</v>
      </c>
      <c r="L43" s="26">
        <f>H43*Subsector!$S$15</f>
        <v>0</v>
      </c>
      <c r="M43" s="26">
        <f>H43*Subsector!$S$16</f>
        <v>0</v>
      </c>
      <c r="N43" s="66">
        <f>H43*Subsector!$S$17</f>
        <v>0</v>
      </c>
      <c r="O43" s="41">
        <f t="shared" si="20"/>
        <v>0</v>
      </c>
      <c r="P43" s="26">
        <f t="shared" si="20"/>
        <v>0</v>
      </c>
      <c r="Q43" s="26">
        <f t="shared" si="21"/>
        <v>0</v>
      </c>
      <c r="R43" s="26">
        <f t="shared" si="22"/>
        <v>0</v>
      </c>
      <c r="S43" s="26">
        <f t="shared" si="23"/>
        <v>0</v>
      </c>
      <c r="T43" s="26">
        <f t="shared" si="23"/>
        <v>0</v>
      </c>
      <c r="U43" s="42">
        <f t="shared" si="24"/>
        <v>0</v>
      </c>
    </row>
    <row r="44" spans="1:21" ht="19.95" hidden="1" customHeight="1" x14ac:dyDescent="0.3">
      <c r="A44" s="55"/>
      <c r="B44" s="24"/>
      <c r="C44" s="24">
        <v>64058</v>
      </c>
      <c r="D44" s="25" t="s">
        <v>76</v>
      </c>
      <c r="E44" s="43"/>
      <c r="F44" s="27"/>
      <c r="G44" s="27"/>
      <c r="H44" s="44"/>
      <c r="I44" s="49">
        <f>H44*Subsector!$S$11</f>
        <v>0</v>
      </c>
      <c r="J44" s="26">
        <f>H44*Subsector!$S$12</f>
        <v>0</v>
      </c>
      <c r="K44" s="26">
        <f>H44*Subsector!$S$13</f>
        <v>0</v>
      </c>
      <c r="L44" s="26">
        <f>H44*Subsector!$S$15</f>
        <v>0</v>
      </c>
      <c r="M44" s="26">
        <f>H44*Subsector!$S$16</f>
        <v>0</v>
      </c>
      <c r="N44" s="66">
        <f>H44*Subsector!$S$17</f>
        <v>0</v>
      </c>
      <c r="O44" s="41">
        <f t="shared" si="20"/>
        <v>0</v>
      </c>
      <c r="P44" s="26">
        <f t="shared" si="20"/>
        <v>0</v>
      </c>
      <c r="Q44" s="26">
        <f t="shared" si="21"/>
        <v>0</v>
      </c>
      <c r="R44" s="26">
        <f t="shared" si="22"/>
        <v>0</v>
      </c>
      <c r="S44" s="26">
        <f t="shared" si="23"/>
        <v>0</v>
      </c>
      <c r="T44" s="26">
        <f t="shared" si="23"/>
        <v>0</v>
      </c>
      <c r="U44" s="42">
        <f t="shared" si="24"/>
        <v>0</v>
      </c>
    </row>
    <row r="45" spans="1:21" ht="19.95" customHeight="1" x14ac:dyDescent="0.3">
      <c r="A45" s="54"/>
      <c r="B45" s="28">
        <v>6406</v>
      </c>
      <c r="C45" s="23"/>
      <c r="D45" s="21" t="s">
        <v>77</v>
      </c>
      <c r="E45" s="39">
        <f>SUM(E46:E49)</f>
        <v>0</v>
      </c>
      <c r="F45" s="22">
        <f t="shared" ref="F45:U45" si="25">SUM(F46:F49)</f>
        <v>4.7</v>
      </c>
      <c r="G45" s="22">
        <f t="shared" si="25"/>
        <v>0</v>
      </c>
      <c r="H45" s="40">
        <f t="shared" si="25"/>
        <v>1.7</v>
      </c>
      <c r="I45" s="36">
        <f t="shared" si="25"/>
        <v>6.026782807115336E-3</v>
      </c>
      <c r="J45" s="22">
        <f t="shared" si="25"/>
        <v>1.0232423294425934</v>
      </c>
      <c r="K45" s="22">
        <f t="shared" si="25"/>
        <v>0.64129220141546173</v>
      </c>
      <c r="L45" s="22">
        <f t="shared" si="25"/>
        <v>2.134393323313441E-2</v>
      </c>
      <c r="M45" s="22">
        <f t="shared" si="25"/>
        <v>0</v>
      </c>
      <c r="N45" s="65">
        <f t="shared" si="25"/>
        <v>8.0947531016949577E-3</v>
      </c>
      <c r="O45" s="39">
        <f t="shared" si="25"/>
        <v>0.2</v>
      </c>
      <c r="P45" s="22">
        <f t="shared" si="25"/>
        <v>5.8</v>
      </c>
      <c r="Q45" s="22">
        <f t="shared" si="25"/>
        <v>0.8</v>
      </c>
      <c r="R45" s="22">
        <f t="shared" si="25"/>
        <v>0.2</v>
      </c>
      <c r="S45" s="22">
        <f t="shared" si="25"/>
        <v>0</v>
      </c>
      <c r="T45" s="22">
        <f t="shared" si="25"/>
        <v>0.2</v>
      </c>
      <c r="U45" s="40">
        <f t="shared" si="25"/>
        <v>7.1999999999999993</v>
      </c>
    </row>
    <row r="46" spans="1:21" ht="19.95" customHeight="1" x14ac:dyDescent="0.3">
      <c r="A46" s="55"/>
      <c r="B46" s="28"/>
      <c r="C46" s="24">
        <v>64061</v>
      </c>
      <c r="D46" s="25" t="s">
        <v>78</v>
      </c>
      <c r="E46" s="43"/>
      <c r="F46" s="27">
        <v>3.8000000000000003</v>
      </c>
      <c r="G46" s="27">
        <v>0</v>
      </c>
      <c r="H46" s="44">
        <v>0.9</v>
      </c>
      <c r="I46" s="49">
        <f>H46*Subsector!$S$11</f>
        <v>3.1906497214140017E-3</v>
      </c>
      <c r="J46" s="26">
        <f>H46*Subsector!$S$12</f>
        <v>0.5417165273519613</v>
      </c>
      <c r="K46" s="26">
        <f>H46*Subsector!$S$13</f>
        <v>0.33950763604347978</v>
      </c>
      <c r="L46" s="26">
        <f>H46*Subsector!$S$15</f>
        <v>1.1299729358718216E-2</v>
      </c>
      <c r="M46" s="26">
        <f>H46*Subsector!$S$16</f>
        <v>0</v>
      </c>
      <c r="N46" s="66">
        <f>H46*Subsector!$S$17</f>
        <v>4.2854575244267419E-3</v>
      </c>
      <c r="O46" s="41">
        <f t="shared" ref="O46:P49" si="26">ROUNDUP(SUM(E46,I46),1)</f>
        <v>0.1</v>
      </c>
      <c r="P46" s="26">
        <f t="shared" si="26"/>
        <v>4.3999999999999995</v>
      </c>
      <c r="Q46" s="26">
        <f>ROUNDUP(SUM(K46),1)</f>
        <v>0.4</v>
      </c>
      <c r="R46" s="26">
        <f>ROUNDUP(SUM(G46,L46),1)</f>
        <v>0.1</v>
      </c>
      <c r="S46" s="26">
        <f t="shared" ref="S46:T49" si="27">ROUNDUP(SUM(M46),1)</f>
        <v>0</v>
      </c>
      <c r="T46" s="26">
        <f t="shared" si="27"/>
        <v>0.1</v>
      </c>
      <c r="U46" s="42">
        <f>SUM(O46:T46)</f>
        <v>5.0999999999999988</v>
      </c>
    </row>
    <row r="47" spans="1:21" ht="19.95" customHeight="1" x14ac:dyDescent="0.3">
      <c r="A47" s="55"/>
      <c r="B47" s="28"/>
      <c r="C47" s="24">
        <v>64063</v>
      </c>
      <c r="D47" s="25" t="s">
        <v>79</v>
      </c>
      <c r="E47" s="43"/>
      <c r="F47" s="27">
        <v>0.9</v>
      </c>
      <c r="G47" s="27">
        <v>0</v>
      </c>
      <c r="H47" s="44">
        <v>0.79999999999999993</v>
      </c>
      <c r="I47" s="49">
        <f>H47*Subsector!$S$11</f>
        <v>2.8361330857013347E-3</v>
      </c>
      <c r="J47" s="26">
        <f>H47*Subsector!$S$12</f>
        <v>0.48152580209063223</v>
      </c>
      <c r="K47" s="26">
        <f>H47*Subsector!$S$13</f>
        <v>0.30178456537198195</v>
      </c>
      <c r="L47" s="26">
        <f>H47*Subsector!$S$15</f>
        <v>1.0044203874416192E-2</v>
      </c>
      <c r="M47" s="26">
        <f>H47*Subsector!$S$16</f>
        <v>0</v>
      </c>
      <c r="N47" s="66">
        <f>H47*Subsector!$S$17</f>
        <v>3.8092955772682149E-3</v>
      </c>
      <c r="O47" s="41">
        <f t="shared" si="26"/>
        <v>0.1</v>
      </c>
      <c r="P47" s="26">
        <f t="shared" si="26"/>
        <v>1.4000000000000001</v>
      </c>
      <c r="Q47" s="26">
        <f>ROUNDUP(SUM(K47),1)</f>
        <v>0.4</v>
      </c>
      <c r="R47" s="26">
        <f>ROUNDUP(SUM(G47,L47),1)</f>
        <v>0.1</v>
      </c>
      <c r="S47" s="26">
        <f t="shared" si="27"/>
        <v>0</v>
      </c>
      <c r="T47" s="26">
        <f t="shared" si="27"/>
        <v>0.1</v>
      </c>
      <c r="U47" s="42">
        <f>SUM(O47:T47)</f>
        <v>2.1000000000000005</v>
      </c>
    </row>
    <row r="48" spans="1:21" ht="19.95" hidden="1" customHeight="1" x14ac:dyDescent="0.3">
      <c r="A48" s="55"/>
      <c r="B48" s="24"/>
      <c r="C48" s="24">
        <v>64064</v>
      </c>
      <c r="D48" s="25" t="s">
        <v>80</v>
      </c>
      <c r="E48" s="43"/>
      <c r="F48" s="27"/>
      <c r="G48" s="27"/>
      <c r="H48" s="44"/>
      <c r="I48" s="49">
        <f>H48*Subsector!$S$11</f>
        <v>0</v>
      </c>
      <c r="J48" s="26">
        <f>H48*Subsector!$S$12</f>
        <v>0</v>
      </c>
      <c r="K48" s="26">
        <f>H48*Subsector!$S$13</f>
        <v>0</v>
      </c>
      <c r="L48" s="26">
        <f>H48*Subsector!$S$15</f>
        <v>0</v>
      </c>
      <c r="M48" s="26">
        <f>H48*Subsector!$S$16</f>
        <v>0</v>
      </c>
      <c r="N48" s="66">
        <f>H48*Subsector!$S$17</f>
        <v>0</v>
      </c>
      <c r="O48" s="41">
        <f t="shared" si="26"/>
        <v>0</v>
      </c>
      <c r="P48" s="26">
        <f t="shared" si="26"/>
        <v>0</v>
      </c>
      <c r="Q48" s="26">
        <f>ROUNDUP(SUM(K48),1)</f>
        <v>0</v>
      </c>
      <c r="R48" s="26">
        <f>ROUNDUP(SUM(G48,L48),1)</f>
        <v>0</v>
      </c>
      <c r="S48" s="26">
        <f t="shared" si="27"/>
        <v>0</v>
      </c>
      <c r="T48" s="26">
        <f t="shared" si="27"/>
        <v>0</v>
      </c>
      <c r="U48" s="42">
        <f>SUM(O48:T48)</f>
        <v>0</v>
      </c>
    </row>
    <row r="49" spans="1:21" ht="19.95" hidden="1" customHeight="1" x14ac:dyDescent="0.3">
      <c r="A49" s="55"/>
      <c r="B49" s="24"/>
      <c r="C49" s="24">
        <v>64068</v>
      </c>
      <c r="D49" s="25" t="s">
        <v>81</v>
      </c>
      <c r="E49" s="43"/>
      <c r="F49" s="27"/>
      <c r="G49" s="27"/>
      <c r="H49" s="44"/>
      <c r="I49" s="49">
        <f>H49*Subsector!$S$11</f>
        <v>0</v>
      </c>
      <c r="J49" s="26">
        <f>H49*Subsector!$S$12</f>
        <v>0</v>
      </c>
      <c r="K49" s="26">
        <f>H49*Subsector!$S$13</f>
        <v>0</v>
      </c>
      <c r="L49" s="26">
        <f>H49*Subsector!$S$15</f>
        <v>0</v>
      </c>
      <c r="M49" s="26">
        <f>H49*Subsector!$S$16</f>
        <v>0</v>
      </c>
      <c r="N49" s="66">
        <f>H49*Subsector!$S$17</f>
        <v>0</v>
      </c>
      <c r="O49" s="41">
        <f t="shared" si="26"/>
        <v>0</v>
      </c>
      <c r="P49" s="26">
        <f t="shared" si="26"/>
        <v>0</v>
      </c>
      <c r="Q49" s="26">
        <f>ROUNDUP(SUM(K49),1)</f>
        <v>0</v>
      </c>
      <c r="R49" s="26">
        <f>ROUNDUP(SUM(G49,L49),1)</f>
        <v>0</v>
      </c>
      <c r="S49" s="26">
        <f t="shared" si="27"/>
        <v>0</v>
      </c>
      <c r="T49" s="26">
        <f t="shared" si="27"/>
        <v>0</v>
      </c>
      <c r="U49" s="42">
        <f>SUM(O49:T49)</f>
        <v>0</v>
      </c>
    </row>
    <row r="50" spans="1:21" ht="19.95" hidden="1" customHeight="1" x14ac:dyDescent="0.3">
      <c r="A50" s="51"/>
      <c r="B50" s="28">
        <v>6407</v>
      </c>
      <c r="C50" s="28"/>
      <c r="D50" s="29" t="s">
        <v>82</v>
      </c>
      <c r="E50" s="39">
        <f>SUM(E51:E58)</f>
        <v>0</v>
      </c>
      <c r="F50" s="22">
        <f t="shared" ref="F50:U50" si="28">SUM(F51:F58)</f>
        <v>0</v>
      </c>
      <c r="G50" s="22">
        <f t="shared" si="28"/>
        <v>0</v>
      </c>
      <c r="H50" s="40">
        <f t="shared" si="28"/>
        <v>0</v>
      </c>
      <c r="I50" s="36">
        <f t="shared" si="28"/>
        <v>0</v>
      </c>
      <c r="J50" s="22">
        <f t="shared" si="28"/>
        <v>0</v>
      </c>
      <c r="K50" s="22">
        <f t="shared" si="28"/>
        <v>0</v>
      </c>
      <c r="L50" s="22">
        <f t="shared" si="28"/>
        <v>0</v>
      </c>
      <c r="M50" s="22">
        <f t="shared" si="28"/>
        <v>0</v>
      </c>
      <c r="N50" s="65">
        <f t="shared" si="28"/>
        <v>0</v>
      </c>
      <c r="O50" s="39">
        <f t="shared" si="28"/>
        <v>0</v>
      </c>
      <c r="P50" s="22">
        <f t="shared" si="28"/>
        <v>0</v>
      </c>
      <c r="Q50" s="22">
        <f t="shared" si="28"/>
        <v>0</v>
      </c>
      <c r="R50" s="22">
        <f t="shared" si="28"/>
        <v>0</v>
      </c>
      <c r="S50" s="22">
        <f t="shared" si="28"/>
        <v>0</v>
      </c>
      <c r="T50" s="22">
        <f t="shared" si="28"/>
        <v>0</v>
      </c>
      <c r="U50" s="40">
        <f t="shared" si="28"/>
        <v>0</v>
      </c>
    </row>
    <row r="51" spans="1:21" ht="19.95" hidden="1" customHeight="1" x14ac:dyDescent="0.3">
      <c r="A51" s="52"/>
      <c r="B51" s="28"/>
      <c r="C51" s="30">
        <v>64071</v>
      </c>
      <c r="D51" s="31" t="s">
        <v>83</v>
      </c>
      <c r="E51" s="43"/>
      <c r="F51" s="27"/>
      <c r="G51" s="27"/>
      <c r="H51" s="44"/>
      <c r="I51" s="49">
        <f>H51*Subsector!$S$11</f>
        <v>0</v>
      </c>
      <c r="J51" s="26">
        <f>H51*Subsector!$S$12</f>
        <v>0</v>
      </c>
      <c r="K51" s="26">
        <f>H51*Subsector!$S$13</f>
        <v>0</v>
      </c>
      <c r="L51" s="26">
        <f>H51*Subsector!$S$15</f>
        <v>0</v>
      </c>
      <c r="M51" s="26">
        <f>H51*Subsector!$S$16</f>
        <v>0</v>
      </c>
      <c r="N51" s="66">
        <f>H51*Subsector!$S$17</f>
        <v>0</v>
      </c>
      <c r="O51" s="41">
        <f t="shared" ref="O51:P58" si="29">ROUNDUP(SUM(E51,I51),1)</f>
        <v>0</v>
      </c>
      <c r="P51" s="26">
        <f t="shared" si="29"/>
        <v>0</v>
      </c>
      <c r="Q51" s="26">
        <f t="shared" ref="Q51:Q58" si="30">ROUNDUP(SUM(K51),1)</f>
        <v>0</v>
      </c>
      <c r="R51" s="26">
        <f t="shared" ref="R51:R58" si="31">ROUNDUP(SUM(G51,L51),1)</f>
        <v>0</v>
      </c>
      <c r="S51" s="26">
        <f t="shared" ref="S51:T58" si="32">ROUNDUP(SUM(M51),1)</f>
        <v>0</v>
      </c>
      <c r="T51" s="26">
        <f t="shared" si="32"/>
        <v>0</v>
      </c>
      <c r="U51" s="42">
        <f t="shared" ref="U51:U58" si="33">SUM(O51:T51)</f>
        <v>0</v>
      </c>
    </row>
    <row r="52" spans="1:21" ht="19.95" hidden="1" customHeight="1" x14ac:dyDescent="0.3">
      <c r="A52" s="52"/>
      <c r="B52" s="28"/>
      <c r="C52" s="30">
        <v>64072</v>
      </c>
      <c r="D52" s="31" t="s">
        <v>84</v>
      </c>
      <c r="E52" s="43"/>
      <c r="F52" s="27"/>
      <c r="G52" s="27"/>
      <c r="H52" s="44"/>
      <c r="I52" s="49">
        <f>H52*Subsector!$S$11</f>
        <v>0</v>
      </c>
      <c r="J52" s="26">
        <f>H52*Subsector!$S$12</f>
        <v>0</v>
      </c>
      <c r="K52" s="26">
        <f>H52*Subsector!$S$13</f>
        <v>0</v>
      </c>
      <c r="L52" s="26">
        <f>H52*Subsector!$S$15</f>
        <v>0</v>
      </c>
      <c r="M52" s="26">
        <f>H52*Subsector!$S$16</f>
        <v>0</v>
      </c>
      <c r="N52" s="66">
        <f>H52*Subsector!$S$17</f>
        <v>0</v>
      </c>
      <c r="O52" s="41">
        <f t="shared" si="29"/>
        <v>0</v>
      </c>
      <c r="P52" s="26">
        <f t="shared" si="29"/>
        <v>0</v>
      </c>
      <c r="Q52" s="26">
        <f t="shared" si="30"/>
        <v>0</v>
      </c>
      <c r="R52" s="26">
        <f t="shared" si="31"/>
        <v>0</v>
      </c>
      <c r="S52" s="26">
        <f t="shared" si="32"/>
        <v>0</v>
      </c>
      <c r="T52" s="26">
        <f t="shared" si="32"/>
        <v>0</v>
      </c>
      <c r="U52" s="42">
        <f t="shared" si="33"/>
        <v>0</v>
      </c>
    </row>
    <row r="53" spans="1:21" ht="19.95" hidden="1" customHeight="1" x14ac:dyDescent="0.3">
      <c r="A53" s="52"/>
      <c r="B53" s="28"/>
      <c r="C53" s="30">
        <v>64073</v>
      </c>
      <c r="D53" s="31" t="s">
        <v>85</v>
      </c>
      <c r="E53" s="43"/>
      <c r="F53" s="27"/>
      <c r="G53" s="27"/>
      <c r="H53" s="44"/>
      <c r="I53" s="49">
        <f>H53*Subsector!$S$11</f>
        <v>0</v>
      </c>
      <c r="J53" s="26">
        <f>H53*Subsector!$S$12</f>
        <v>0</v>
      </c>
      <c r="K53" s="26">
        <f>H53*Subsector!$S$13</f>
        <v>0</v>
      </c>
      <c r="L53" s="26">
        <f>H53*Subsector!$S$15</f>
        <v>0</v>
      </c>
      <c r="M53" s="26">
        <f>H53*Subsector!$S$16</f>
        <v>0</v>
      </c>
      <c r="N53" s="66">
        <f>H53*Subsector!$S$17</f>
        <v>0</v>
      </c>
      <c r="O53" s="41">
        <f t="shared" si="29"/>
        <v>0</v>
      </c>
      <c r="P53" s="26">
        <f t="shared" si="29"/>
        <v>0</v>
      </c>
      <c r="Q53" s="26">
        <f t="shared" si="30"/>
        <v>0</v>
      </c>
      <c r="R53" s="26">
        <f t="shared" si="31"/>
        <v>0</v>
      </c>
      <c r="S53" s="26">
        <f t="shared" si="32"/>
        <v>0</v>
      </c>
      <c r="T53" s="26">
        <f t="shared" si="32"/>
        <v>0</v>
      </c>
      <c r="U53" s="42">
        <f t="shared" si="33"/>
        <v>0</v>
      </c>
    </row>
    <row r="54" spans="1:21" ht="19.95" hidden="1" customHeight="1" x14ac:dyDescent="0.3">
      <c r="A54" s="52"/>
      <c r="B54" s="24"/>
      <c r="C54" s="30">
        <v>64074</v>
      </c>
      <c r="D54" s="25" t="s">
        <v>86</v>
      </c>
      <c r="E54" s="43"/>
      <c r="F54" s="27"/>
      <c r="G54" s="27"/>
      <c r="H54" s="44"/>
      <c r="I54" s="49">
        <f>H54*Subsector!$S$11</f>
        <v>0</v>
      </c>
      <c r="J54" s="26">
        <f>H54*Subsector!$S$12</f>
        <v>0</v>
      </c>
      <c r="K54" s="26">
        <f>H54*Subsector!$S$13</f>
        <v>0</v>
      </c>
      <c r="L54" s="26">
        <f>H54*Subsector!$S$15</f>
        <v>0</v>
      </c>
      <c r="M54" s="26">
        <f>H54*Subsector!$S$16</f>
        <v>0</v>
      </c>
      <c r="N54" s="66">
        <f>H54*Subsector!$S$17</f>
        <v>0</v>
      </c>
      <c r="O54" s="41">
        <f t="shared" si="29"/>
        <v>0</v>
      </c>
      <c r="P54" s="26">
        <f t="shared" si="29"/>
        <v>0</v>
      </c>
      <c r="Q54" s="26">
        <f t="shared" si="30"/>
        <v>0</v>
      </c>
      <c r="R54" s="26">
        <f t="shared" si="31"/>
        <v>0</v>
      </c>
      <c r="S54" s="26">
        <f t="shared" si="32"/>
        <v>0</v>
      </c>
      <c r="T54" s="26">
        <f t="shared" si="32"/>
        <v>0</v>
      </c>
      <c r="U54" s="42">
        <f t="shared" si="33"/>
        <v>0</v>
      </c>
    </row>
    <row r="55" spans="1:21" ht="19.95" hidden="1" customHeight="1" x14ac:dyDescent="0.3">
      <c r="A55" s="52"/>
      <c r="B55" s="28"/>
      <c r="C55" s="30">
        <v>64075</v>
      </c>
      <c r="D55" s="31" t="s">
        <v>48</v>
      </c>
      <c r="E55" s="43"/>
      <c r="F55" s="27"/>
      <c r="G55" s="27"/>
      <c r="H55" s="44"/>
      <c r="I55" s="49">
        <f>H55*Subsector!$S$11</f>
        <v>0</v>
      </c>
      <c r="J55" s="26">
        <f>H55*Subsector!$S$12</f>
        <v>0</v>
      </c>
      <c r="K55" s="26">
        <f>H55*Subsector!$S$13</f>
        <v>0</v>
      </c>
      <c r="L55" s="26">
        <f>H55*Subsector!$S$15</f>
        <v>0</v>
      </c>
      <c r="M55" s="26">
        <f>H55*Subsector!$S$16</f>
        <v>0</v>
      </c>
      <c r="N55" s="66">
        <f>H55*Subsector!$S$17</f>
        <v>0</v>
      </c>
      <c r="O55" s="41">
        <f t="shared" si="29"/>
        <v>0</v>
      </c>
      <c r="P55" s="26">
        <f t="shared" si="29"/>
        <v>0</v>
      </c>
      <c r="Q55" s="26">
        <f t="shared" si="30"/>
        <v>0</v>
      </c>
      <c r="R55" s="26">
        <f t="shared" si="31"/>
        <v>0</v>
      </c>
      <c r="S55" s="26">
        <f t="shared" si="32"/>
        <v>0</v>
      </c>
      <c r="T55" s="26">
        <f t="shared" si="32"/>
        <v>0</v>
      </c>
      <c r="U55" s="42">
        <f t="shared" si="33"/>
        <v>0</v>
      </c>
    </row>
    <row r="56" spans="1:21" ht="19.95" hidden="1" customHeight="1" x14ac:dyDescent="0.3">
      <c r="A56" s="52"/>
      <c r="B56" s="28"/>
      <c r="C56" s="30">
        <v>64076</v>
      </c>
      <c r="D56" s="31" t="s">
        <v>49</v>
      </c>
      <c r="E56" s="43"/>
      <c r="F56" s="27"/>
      <c r="G56" s="27"/>
      <c r="H56" s="44"/>
      <c r="I56" s="49">
        <f>H56*Subsector!$S$11</f>
        <v>0</v>
      </c>
      <c r="J56" s="26">
        <f>H56*Subsector!$S$12</f>
        <v>0</v>
      </c>
      <c r="K56" s="26">
        <f>H56*Subsector!$S$13</f>
        <v>0</v>
      </c>
      <c r="L56" s="26">
        <f>H56*Subsector!$S$15</f>
        <v>0</v>
      </c>
      <c r="M56" s="26">
        <f>H56*Subsector!$S$16</f>
        <v>0</v>
      </c>
      <c r="N56" s="66">
        <f>H56*Subsector!$S$17</f>
        <v>0</v>
      </c>
      <c r="O56" s="41">
        <f t="shared" si="29"/>
        <v>0</v>
      </c>
      <c r="P56" s="26">
        <f t="shared" si="29"/>
        <v>0</v>
      </c>
      <c r="Q56" s="26">
        <f t="shared" si="30"/>
        <v>0</v>
      </c>
      <c r="R56" s="26">
        <f t="shared" si="31"/>
        <v>0</v>
      </c>
      <c r="S56" s="26">
        <f t="shared" si="32"/>
        <v>0</v>
      </c>
      <c r="T56" s="26">
        <f t="shared" si="32"/>
        <v>0</v>
      </c>
      <c r="U56" s="42">
        <f t="shared" si="33"/>
        <v>0</v>
      </c>
    </row>
    <row r="57" spans="1:21" ht="19.95" hidden="1" customHeight="1" x14ac:dyDescent="0.3">
      <c r="A57" s="52"/>
      <c r="B57" s="28"/>
      <c r="C57" s="30">
        <v>64077</v>
      </c>
      <c r="D57" s="31" t="s">
        <v>50</v>
      </c>
      <c r="E57" s="43"/>
      <c r="F57" s="27"/>
      <c r="G57" s="27"/>
      <c r="H57" s="44"/>
      <c r="I57" s="49">
        <f>H57*Subsector!$S$11</f>
        <v>0</v>
      </c>
      <c r="J57" s="26">
        <f>H57*Subsector!$S$12</f>
        <v>0</v>
      </c>
      <c r="K57" s="26">
        <f>H57*Subsector!$S$13</f>
        <v>0</v>
      </c>
      <c r="L57" s="26">
        <f>H57*Subsector!$S$15</f>
        <v>0</v>
      </c>
      <c r="M57" s="26">
        <f>H57*Subsector!$S$16</f>
        <v>0</v>
      </c>
      <c r="N57" s="66">
        <f>H57*Subsector!$S$17</f>
        <v>0</v>
      </c>
      <c r="O57" s="41">
        <f t="shared" si="29"/>
        <v>0</v>
      </c>
      <c r="P57" s="26">
        <f t="shared" si="29"/>
        <v>0</v>
      </c>
      <c r="Q57" s="26">
        <f t="shared" si="30"/>
        <v>0</v>
      </c>
      <c r="R57" s="26">
        <f t="shared" si="31"/>
        <v>0</v>
      </c>
      <c r="S57" s="26">
        <f t="shared" si="32"/>
        <v>0</v>
      </c>
      <c r="T57" s="26">
        <f t="shared" si="32"/>
        <v>0</v>
      </c>
      <c r="U57" s="42">
        <f t="shared" si="33"/>
        <v>0</v>
      </c>
    </row>
    <row r="58" spans="1:21" ht="19.95" hidden="1" customHeight="1" x14ac:dyDescent="0.3">
      <c r="A58" s="52"/>
      <c r="B58" s="28"/>
      <c r="C58" s="30">
        <v>64078</v>
      </c>
      <c r="D58" s="31" t="s">
        <v>87</v>
      </c>
      <c r="E58" s="43"/>
      <c r="F58" s="27"/>
      <c r="G58" s="27"/>
      <c r="H58" s="44"/>
      <c r="I58" s="49">
        <f>H58*Subsector!$S$11</f>
        <v>0</v>
      </c>
      <c r="J58" s="26">
        <f>H58*Subsector!$S$12</f>
        <v>0</v>
      </c>
      <c r="K58" s="26">
        <f>H58*Subsector!$S$13</f>
        <v>0</v>
      </c>
      <c r="L58" s="26">
        <f>H58*Subsector!$S$15</f>
        <v>0</v>
      </c>
      <c r="M58" s="26">
        <f>H58*Subsector!$S$16</f>
        <v>0</v>
      </c>
      <c r="N58" s="66">
        <f>H58*Subsector!$S$17</f>
        <v>0</v>
      </c>
      <c r="O58" s="41">
        <f t="shared" si="29"/>
        <v>0</v>
      </c>
      <c r="P58" s="26">
        <f t="shared" si="29"/>
        <v>0</v>
      </c>
      <c r="Q58" s="26">
        <f t="shared" si="30"/>
        <v>0</v>
      </c>
      <c r="R58" s="26">
        <f t="shared" si="31"/>
        <v>0</v>
      </c>
      <c r="S58" s="26">
        <f t="shared" si="32"/>
        <v>0</v>
      </c>
      <c r="T58" s="26">
        <f t="shared" si="32"/>
        <v>0</v>
      </c>
      <c r="U58" s="42">
        <f t="shared" si="33"/>
        <v>0</v>
      </c>
    </row>
    <row r="59" spans="1:21" ht="19.95" customHeight="1" x14ac:dyDescent="0.3">
      <c r="A59" s="51"/>
      <c r="B59" s="28">
        <v>6498</v>
      </c>
      <c r="C59" s="28"/>
      <c r="D59" s="29" t="s">
        <v>88</v>
      </c>
      <c r="E59" s="39">
        <f>SUM(E60)</f>
        <v>0</v>
      </c>
      <c r="F59" s="22">
        <f t="shared" ref="F59:U59" si="34">SUM(F60)</f>
        <v>7.9</v>
      </c>
      <c r="G59" s="22">
        <f>SUM(G60)</f>
        <v>0.5</v>
      </c>
      <c r="H59" s="40">
        <f t="shared" si="34"/>
        <v>0.5</v>
      </c>
      <c r="I59" s="36">
        <f t="shared" si="34"/>
        <v>1.7725831785633344E-3</v>
      </c>
      <c r="J59" s="22">
        <f t="shared" si="34"/>
        <v>0.30095362630664518</v>
      </c>
      <c r="K59" s="22">
        <f t="shared" si="34"/>
        <v>0.18861535335748875</v>
      </c>
      <c r="L59" s="22">
        <f t="shared" si="34"/>
        <v>6.2776274215101202E-3</v>
      </c>
      <c r="M59" s="22">
        <f t="shared" si="34"/>
        <v>0</v>
      </c>
      <c r="N59" s="65">
        <f t="shared" si="34"/>
        <v>2.3808097357926345E-3</v>
      </c>
      <c r="O59" s="39">
        <f t="shared" si="34"/>
        <v>0.1</v>
      </c>
      <c r="P59" s="22">
        <f t="shared" si="34"/>
        <v>8.2999999999999989</v>
      </c>
      <c r="Q59" s="22">
        <f t="shared" si="34"/>
        <v>0.2</v>
      </c>
      <c r="R59" s="22">
        <f t="shared" si="34"/>
        <v>0.6</v>
      </c>
      <c r="S59" s="22">
        <f t="shared" si="34"/>
        <v>0</v>
      </c>
      <c r="T59" s="22">
        <f t="shared" si="34"/>
        <v>0.1</v>
      </c>
      <c r="U59" s="40">
        <f t="shared" si="34"/>
        <v>9.2999999999999972</v>
      </c>
    </row>
    <row r="60" spans="1:21" ht="19.95" customHeight="1" thickBot="1" x14ac:dyDescent="0.35">
      <c r="A60" s="56"/>
      <c r="B60" s="57"/>
      <c r="C60" s="58">
        <v>64981</v>
      </c>
      <c r="D60" s="59" t="s">
        <v>88</v>
      </c>
      <c r="E60" s="68"/>
      <c r="F60" s="69">
        <v>7.9</v>
      </c>
      <c r="G60" s="69">
        <v>0.5</v>
      </c>
      <c r="H60" s="70">
        <v>0.5</v>
      </c>
      <c r="I60" s="63">
        <f>H60*Subsector!$S$11</f>
        <v>1.7725831785633344E-3</v>
      </c>
      <c r="J60" s="61">
        <f>H60*Subsector!$S$12</f>
        <v>0.30095362630664518</v>
      </c>
      <c r="K60" s="61">
        <f>H60*Subsector!$S$13</f>
        <v>0.18861535335748875</v>
      </c>
      <c r="L60" s="61">
        <f>H60*Subsector!$S$15</f>
        <v>6.2776274215101202E-3</v>
      </c>
      <c r="M60" s="61">
        <f>H60*Subsector!$S$16</f>
        <v>0</v>
      </c>
      <c r="N60" s="67">
        <f>H60*Subsector!$S$17</f>
        <v>2.3808097357926345E-3</v>
      </c>
      <c r="O60" s="60">
        <f>ROUNDUP(SUM(E60,I60),1)</f>
        <v>0.1</v>
      </c>
      <c r="P60" s="61">
        <f>ROUNDUP(SUM(F60,J60),1)</f>
        <v>8.2999999999999989</v>
      </c>
      <c r="Q60" s="61">
        <f>ROUNDUP(SUM(K60),1)</f>
        <v>0.2</v>
      </c>
      <c r="R60" s="61">
        <f>ROUNDUP(SUM(G60,L60),1)</f>
        <v>0.6</v>
      </c>
      <c r="S60" s="61">
        <f>ROUNDUP(SUM(M60),1)</f>
        <v>0</v>
      </c>
      <c r="T60" s="61">
        <f>ROUNDUP(SUM(N60),1)</f>
        <v>0.1</v>
      </c>
      <c r="U60" s="62">
        <f>SUM(O60:T60)</f>
        <v>9.2999999999999972</v>
      </c>
    </row>
  </sheetData>
  <sheetProtection algorithmName="SHA-512" hashValue="9Z0J3lXgzOVIxDcx4RN1DLhn8duPJztlATFUjsTmMtf/jZlXZsHQiNvaFu6fBexeNmVgtlsNM9KjI9SMlrg1gg==" saltValue="2HpUrtQtsyHhN+HTaihCAw==" spinCount="100000" sheet="1" formatCells="0" formatColumns="0" formatRows="0" sort="0" autoFilter="0" pivotTables="0"/>
  <mergeCells count="8">
    <mergeCell ref="A3:U3"/>
    <mergeCell ref="A5:A7"/>
    <mergeCell ref="B5:B7"/>
    <mergeCell ref="C5:C7"/>
    <mergeCell ref="D5:D7"/>
    <mergeCell ref="E5:H5"/>
    <mergeCell ref="I5:N6"/>
    <mergeCell ref="O5:U6"/>
  </mergeCells>
  <pageMargins left="0.70866141732283472" right="0.70866141732283472" top="0.74803149606299213" bottom="0.74803149606299213" header="0.31496062992125984" footer="0.31496062992125984"/>
  <pageSetup paperSize="9" scale="85" orientation="landscape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2644B-ABB0-4DDA-A473-768EBD3AB2A3}">
  <sheetPr codeName="Sheet10"/>
  <dimension ref="A1:U60"/>
  <sheetViews>
    <sheetView zoomScale="70" zoomScaleNormal="70" workbookViewId="0">
      <selection activeCell="X23" sqref="X23"/>
    </sheetView>
  </sheetViews>
  <sheetFormatPr defaultRowHeight="14.4" x14ac:dyDescent="0.3"/>
  <cols>
    <col min="1" max="1" width="6" customWidth="1"/>
    <col min="2" max="2" width="6.5546875" customWidth="1"/>
    <col min="3" max="3" width="9.44140625" customWidth="1"/>
    <col min="4" max="4" width="48.77734375" customWidth="1"/>
    <col min="5" max="5" width="8.21875" customWidth="1"/>
    <col min="6" max="6" width="9.33203125" customWidth="1"/>
    <col min="7" max="9" width="8.21875" customWidth="1"/>
    <col min="10" max="21" width="8.77734375" customWidth="1"/>
  </cols>
  <sheetData>
    <row r="1" spans="1:21" ht="21.45" customHeight="1" x14ac:dyDescent="0.3"/>
    <row r="2" spans="1:21" ht="21.45" customHeight="1" x14ac:dyDescent="0.3"/>
    <row r="3" spans="1:21" ht="36.450000000000003" customHeight="1" x14ac:dyDescent="0.3">
      <c r="A3" s="108" t="s">
        <v>98</v>
      </c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</row>
    <row r="4" spans="1:21" ht="21.45" customHeight="1" thickBot="1" x14ac:dyDescent="0.35"/>
    <row r="5" spans="1:21" ht="43.5" customHeight="1" x14ac:dyDescent="0.3">
      <c r="A5" s="123" t="s">
        <v>39</v>
      </c>
      <c r="B5" s="121" t="s">
        <v>40</v>
      </c>
      <c r="C5" s="121" t="s">
        <v>41</v>
      </c>
      <c r="D5" s="119" t="s">
        <v>42</v>
      </c>
      <c r="E5" s="125" t="s">
        <v>99</v>
      </c>
      <c r="F5" s="126"/>
      <c r="G5" s="126"/>
      <c r="H5" s="127"/>
      <c r="I5" s="140" t="s">
        <v>94</v>
      </c>
      <c r="J5" s="141"/>
      <c r="K5" s="141"/>
      <c r="L5" s="141"/>
      <c r="M5" s="141"/>
      <c r="N5" s="142"/>
      <c r="O5" s="134" t="s">
        <v>95</v>
      </c>
      <c r="P5" s="135"/>
      <c r="Q5" s="135"/>
      <c r="R5" s="135"/>
      <c r="S5" s="135"/>
      <c r="T5" s="135"/>
      <c r="U5" s="136"/>
    </row>
    <row r="6" spans="1:21" ht="43.05" customHeight="1" x14ac:dyDescent="0.8">
      <c r="A6" s="124"/>
      <c r="B6" s="122"/>
      <c r="C6" s="122"/>
      <c r="D6" s="120"/>
      <c r="E6" s="45"/>
      <c r="F6" s="46"/>
      <c r="G6" s="46"/>
      <c r="H6" s="47"/>
      <c r="I6" s="143"/>
      <c r="J6" s="144"/>
      <c r="K6" s="144"/>
      <c r="L6" s="144"/>
      <c r="M6" s="144"/>
      <c r="N6" s="145"/>
      <c r="O6" s="137"/>
      <c r="P6" s="138"/>
      <c r="Q6" s="138"/>
      <c r="R6" s="138"/>
      <c r="S6" s="138"/>
      <c r="T6" s="138"/>
      <c r="U6" s="139"/>
    </row>
    <row r="7" spans="1:21" ht="132.44999999999999" customHeight="1" x14ac:dyDescent="0.3">
      <c r="A7" s="124"/>
      <c r="B7" s="122"/>
      <c r="C7" s="122"/>
      <c r="D7" s="120"/>
      <c r="E7" s="78" t="s">
        <v>25</v>
      </c>
      <c r="F7" s="74" t="s">
        <v>26</v>
      </c>
      <c r="G7" s="74" t="s">
        <v>29</v>
      </c>
      <c r="H7" s="79" t="s">
        <v>91</v>
      </c>
      <c r="I7" s="77" t="s">
        <v>25</v>
      </c>
      <c r="J7" s="75" t="s">
        <v>26</v>
      </c>
      <c r="K7" s="75" t="s">
        <v>27</v>
      </c>
      <c r="L7" s="75" t="s">
        <v>29</v>
      </c>
      <c r="M7" s="75" t="s">
        <v>30</v>
      </c>
      <c r="N7" s="80" t="s">
        <v>31</v>
      </c>
      <c r="O7" s="81" t="s">
        <v>25</v>
      </c>
      <c r="P7" s="76" t="s">
        <v>26</v>
      </c>
      <c r="Q7" s="76" t="s">
        <v>27</v>
      </c>
      <c r="R7" s="76" t="s">
        <v>29</v>
      </c>
      <c r="S7" s="76" t="s">
        <v>30</v>
      </c>
      <c r="T7" s="76" t="s">
        <v>31</v>
      </c>
      <c r="U7" s="82" t="s">
        <v>12</v>
      </c>
    </row>
    <row r="8" spans="1:21" ht="19.95" customHeight="1" x14ac:dyDescent="0.3">
      <c r="A8" s="50">
        <v>64</v>
      </c>
      <c r="B8" s="32"/>
      <c r="C8" s="32"/>
      <c r="D8" s="33" t="s">
        <v>43</v>
      </c>
      <c r="E8" s="37">
        <f>SUM(E9,E18,E27,E33,E37,E45,E50,E59)</f>
        <v>0</v>
      </c>
      <c r="F8" s="34">
        <f t="shared" ref="F8:U8" si="0">SUM(F9,F18,F27,F33,F37,F45,F50,F59)</f>
        <v>0</v>
      </c>
      <c r="G8" s="34">
        <f t="shared" si="0"/>
        <v>0</v>
      </c>
      <c r="H8" s="38">
        <f t="shared" si="0"/>
        <v>0</v>
      </c>
      <c r="I8" s="35">
        <f t="shared" si="0"/>
        <v>0</v>
      </c>
      <c r="J8" s="34">
        <f t="shared" si="0"/>
        <v>0</v>
      </c>
      <c r="K8" s="34">
        <f t="shared" si="0"/>
        <v>0</v>
      </c>
      <c r="L8" s="34">
        <f t="shared" si="0"/>
        <v>0</v>
      </c>
      <c r="M8" s="34">
        <f t="shared" si="0"/>
        <v>0</v>
      </c>
      <c r="N8" s="64">
        <f t="shared" si="0"/>
        <v>0</v>
      </c>
      <c r="O8" s="37">
        <f t="shared" si="0"/>
        <v>0</v>
      </c>
      <c r="P8" s="34">
        <f t="shared" si="0"/>
        <v>0</v>
      </c>
      <c r="Q8" s="34">
        <f t="shared" si="0"/>
        <v>0</v>
      </c>
      <c r="R8" s="34">
        <f t="shared" si="0"/>
        <v>0</v>
      </c>
      <c r="S8" s="34">
        <f t="shared" si="0"/>
        <v>0</v>
      </c>
      <c r="T8" s="34">
        <f t="shared" si="0"/>
        <v>0</v>
      </c>
      <c r="U8" s="38">
        <f t="shared" si="0"/>
        <v>0</v>
      </c>
    </row>
    <row r="9" spans="1:21" ht="19.95" customHeight="1" x14ac:dyDescent="0.3">
      <c r="A9" s="51"/>
      <c r="B9" s="23">
        <v>6401</v>
      </c>
      <c r="C9" s="23"/>
      <c r="D9" s="21" t="s">
        <v>90</v>
      </c>
      <c r="E9" s="39">
        <f>SUM(E10:E17)</f>
        <v>0</v>
      </c>
      <c r="F9" s="22">
        <f>SUM(F10:F17)</f>
        <v>0</v>
      </c>
      <c r="G9" s="22">
        <f t="shared" ref="G9:U9" si="1">SUM(G10:G17)</f>
        <v>0</v>
      </c>
      <c r="H9" s="40">
        <f t="shared" si="1"/>
        <v>0</v>
      </c>
      <c r="I9" s="36">
        <f t="shared" si="1"/>
        <v>0</v>
      </c>
      <c r="J9" s="22">
        <f t="shared" si="1"/>
        <v>0</v>
      </c>
      <c r="K9" s="22">
        <f t="shared" si="1"/>
        <v>0</v>
      </c>
      <c r="L9" s="22">
        <f t="shared" si="1"/>
        <v>0</v>
      </c>
      <c r="M9" s="22">
        <f t="shared" si="1"/>
        <v>0</v>
      </c>
      <c r="N9" s="65">
        <f t="shared" si="1"/>
        <v>0</v>
      </c>
      <c r="O9" s="39">
        <f>SUM(O10:O17)</f>
        <v>0</v>
      </c>
      <c r="P9" s="22">
        <f t="shared" si="1"/>
        <v>0</v>
      </c>
      <c r="Q9" s="22">
        <f t="shared" si="1"/>
        <v>0</v>
      </c>
      <c r="R9" s="22">
        <f t="shared" si="1"/>
        <v>0</v>
      </c>
      <c r="S9" s="22">
        <f t="shared" si="1"/>
        <v>0</v>
      </c>
      <c r="T9" s="22">
        <f t="shared" si="1"/>
        <v>0</v>
      </c>
      <c r="U9" s="40">
        <f t="shared" si="1"/>
        <v>0</v>
      </c>
    </row>
    <row r="10" spans="1:21" ht="19.95" customHeight="1" x14ac:dyDescent="0.3">
      <c r="A10" s="52"/>
      <c r="B10" s="24"/>
      <c r="C10" s="24">
        <v>64011</v>
      </c>
      <c r="D10" s="25" t="s">
        <v>44</v>
      </c>
      <c r="E10" s="43"/>
      <c r="F10" s="27">
        <v>0</v>
      </c>
      <c r="G10" s="27"/>
      <c r="H10" s="44">
        <v>0</v>
      </c>
      <c r="I10" s="49">
        <f>H10*Subsector!$S$11</f>
        <v>0</v>
      </c>
      <c r="J10" s="26">
        <f>H10*Subsector!$S$12</f>
        <v>0</v>
      </c>
      <c r="K10" s="26">
        <f>H10*Subsector!$S$13</f>
        <v>0</v>
      </c>
      <c r="L10" s="26">
        <f>H10*Subsector!$S$15</f>
        <v>0</v>
      </c>
      <c r="M10" s="26">
        <f>H10*Subsector!$S$16</f>
        <v>0</v>
      </c>
      <c r="N10" s="66">
        <f>H10*Subsector!$S$17</f>
        <v>0</v>
      </c>
      <c r="O10" s="41">
        <f t="shared" ref="O10:P17" si="2">ROUNDUP(SUM(E10,I10),1)</f>
        <v>0</v>
      </c>
      <c r="P10" s="26">
        <f t="shared" si="2"/>
        <v>0</v>
      </c>
      <c r="Q10" s="26">
        <f t="shared" ref="Q10:Q17" si="3">ROUNDUP(SUM(K10),1)</f>
        <v>0</v>
      </c>
      <c r="R10" s="26">
        <f t="shared" ref="R10:R17" si="4">ROUNDUP(SUM(G10,L10),1)</f>
        <v>0</v>
      </c>
      <c r="S10" s="26">
        <f t="shared" ref="S10:T17" si="5">ROUNDUP(SUM(M10),1)</f>
        <v>0</v>
      </c>
      <c r="T10" s="26">
        <f t="shared" si="5"/>
        <v>0</v>
      </c>
      <c r="U10" s="42">
        <f t="shared" ref="U10:U17" si="6">SUM(O10:T10)</f>
        <v>0</v>
      </c>
    </row>
    <row r="11" spans="1:21" ht="19.95" customHeight="1" x14ac:dyDescent="0.3">
      <c r="A11" s="52"/>
      <c r="B11" s="24"/>
      <c r="C11" s="24">
        <v>64012</v>
      </c>
      <c r="D11" s="25" t="s">
        <v>89</v>
      </c>
      <c r="E11" s="43"/>
      <c r="F11" s="27">
        <v>0</v>
      </c>
      <c r="G11" s="27"/>
      <c r="H11" s="44">
        <v>0</v>
      </c>
      <c r="I11" s="49">
        <f>H11*Subsector!$S$11</f>
        <v>0</v>
      </c>
      <c r="J11" s="26">
        <f>H11*Subsector!$S$12</f>
        <v>0</v>
      </c>
      <c r="K11" s="26">
        <f>H11*Subsector!$S$13</f>
        <v>0</v>
      </c>
      <c r="L11" s="26">
        <f>H11*Subsector!$S$15</f>
        <v>0</v>
      </c>
      <c r="M11" s="26">
        <f>H11*Subsector!$S$16</f>
        <v>0</v>
      </c>
      <c r="N11" s="66">
        <f>H11*Subsector!$S$17</f>
        <v>0</v>
      </c>
      <c r="O11" s="41">
        <f t="shared" si="2"/>
        <v>0</v>
      </c>
      <c r="P11" s="26">
        <f t="shared" si="2"/>
        <v>0</v>
      </c>
      <c r="Q11" s="26">
        <f t="shared" si="3"/>
        <v>0</v>
      </c>
      <c r="R11" s="26">
        <f t="shared" si="4"/>
        <v>0</v>
      </c>
      <c r="S11" s="26">
        <f t="shared" si="5"/>
        <v>0</v>
      </c>
      <c r="T11" s="26">
        <f t="shared" si="5"/>
        <v>0</v>
      </c>
      <c r="U11" s="42">
        <f t="shared" si="6"/>
        <v>0</v>
      </c>
    </row>
    <row r="12" spans="1:21" ht="19.95" customHeight="1" x14ac:dyDescent="0.3">
      <c r="A12" s="52"/>
      <c r="B12" s="24"/>
      <c r="C12" s="24">
        <v>64013</v>
      </c>
      <c r="D12" s="25" t="s">
        <v>45</v>
      </c>
      <c r="E12" s="43"/>
      <c r="F12" s="27">
        <v>0</v>
      </c>
      <c r="G12" s="27"/>
      <c r="H12" s="44">
        <v>0</v>
      </c>
      <c r="I12" s="49">
        <f>H12*Subsector!$S$11</f>
        <v>0</v>
      </c>
      <c r="J12" s="26">
        <f>H12*Subsector!$S$12</f>
        <v>0</v>
      </c>
      <c r="K12" s="26">
        <f>H12*Subsector!$S$13</f>
        <v>0</v>
      </c>
      <c r="L12" s="26">
        <f>H12*Subsector!$S$15</f>
        <v>0</v>
      </c>
      <c r="M12" s="26">
        <f>H12*Subsector!$S$16</f>
        <v>0</v>
      </c>
      <c r="N12" s="66">
        <f>H12*Subsector!$S$17</f>
        <v>0</v>
      </c>
      <c r="O12" s="41">
        <f t="shared" si="2"/>
        <v>0</v>
      </c>
      <c r="P12" s="26">
        <f t="shared" si="2"/>
        <v>0</v>
      </c>
      <c r="Q12" s="26">
        <f t="shared" si="3"/>
        <v>0</v>
      </c>
      <c r="R12" s="26">
        <f t="shared" si="4"/>
        <v>0</v>
      </c>
      <c r="S12" s="26">
        <f t="shared" si="5"/>
        <v>0</v>
      </c>
      <c r="T12" s="26">
        <f t="shared" si="5"/>
        <v>0</v>
      </c>
      <c r="U12" s="42">
        <f t="shared" si="6"/>
        <v>0</v>
      </c>
    </row>
    <row r="13" spans="1:21" ht="19.95" customHeight="1" x14ac:dyDescent="0.3">
      <c r="A13" s="52"/>
      <c r="B13" s="24"/>
      <c r="C13" s="24">
        <v>64014</v>
      </c>
      <c r="D13" s="25" t="s">
        <v>46</v>
      </c>
      <c r="E13" s="43"/>
      <c r="F13" s="27">
        <v>0</v>
      </c>
      <c r="G13" s="27"/>
      <c r="H13" s="44">
        <v>0</v>
      </c>
      <c r="I13" s="49">
        <f>H13*Subsector!$S$11</f>
        <v>0</v>
      </c>
      <c r="J13" s="26">
        <f>H13*Subsector!$S$12</f>
        <v>0</v>
      </c>
      <c r="K13" s="26">
        <f>H13*Subsector!$S$13</f>
        <v>0</v>
      </c>
      <c r="L13" s="26">
        <f>H13*Subsector!$S$15</f>
        <v>0</v>
      </c>
      <c r="M13" s="26">
        <f>H13*Subsector!$S$16</f>
        <v>0</v>
      </c>
      <c r="N13" s="66">
        <f>H13*Subsector!$S$17</f>
        <v>0</v>
      </c>
      <c r="O13" s="41">
        <f t="shared" si="2"/>
        <v>0</v>
      </c>
      <c r="P13" s="26">
        <f t="shared" si="2"/>
        <v>0</v>
      </c>
      <c r="Q13" s="26">
        <f t="shared" si="3"/>
        <v>0</v>
      </c>
      <c r="R13" s="26">
        <f t="shared" si="4"/>
        <v>0</v>
      </c>
      <c r="S13" s="26">
        <f t="shared" si="5"/>
        <v>0</v>
      </c>
      <c r="T13" s="26">
        <f t="shared" si="5"/>
        <v>0</v>
      </c>
      <c r="U13" s="42">
        <f t="shared" si="6"/>
        <v>0</v>
      </c>
    </row>
    <row r="14" spans="1:21" ht="19.95" customHeight="1" x14ac:dyDescent="0.3">
      <c r="A14" s="52"/>
      <c r="B14" s="24"/>
      <c r="C14" s="24">
        <v>64015</v>
      </c>
      <c r="D14" s="25" t="s">
        <v>47</v>
      </c>
      <c r="E14" s="43"/>
      <c r="F14" s="27">
        <v>0</v>
      </c>
      <c r="G14" s="27"/>
      <c r="H14" s="44">
        <v>0</v>
      </c>
      <c r="I14" s="49">
        <f>H14*Subsector!$S$11</f>
        <v>0</v>
      </c>
      <c r="J14" s="26">
        <f>H14*Subsector!$S$12</f>
        <v>0</v>
      </c>
      <c r="K14" s="26">
        <f>H14*Subsector!$S$13</f>
        <v>0</v>
      </c>
      <c r="L14" s="26">
        <f>H14*Subsector!$S$15</f>
        <v>0</v>
      </c>
      <c r="M14" s="26">
        <f>H14*Subsector!$S$16</f>
        <v>0</v>
      </c>
      <c r="N14" s="66">
        <f>H14*Subsector!$S$17</f>
        <v>0</v>
      </c>
      <c r="O14" s="41">
        <f t="shared" si="2"/>
        <v>0</v>
      </c>
      <c r="P14" s="26">
        <f t="shared" si="2"/>
        <v>0</v>
      </c>
      <c r="Q14" s="26">
        <f t="shared" si="3"/>
        <v>0</v>
      </c>
      <c r="R14" s="26">
        <f t="shared" si="4"/>
        <v>0</v>
      </c>
      <c r="S14" s="26">
        <f t="shared" si="5"/>
        <v>0</v>
      </c>
      <c r="T14" s="26">
        <f t="shared" si="5"/>
        <v>0</v>
      </c>
      <c r="U14" s="42">
        <f t="shared" si="6"/>
        <v>0</v>
      </c>
    </row>
    <row r="15" spans="1:21" ht="19.95" customHeight="1" x14ac:dyDescent="0.3">
      <c r="A15" s="52"/>
      <c r="B15" s="24"/>
      <c r="C15" s="24">
        <v>64016</v>
      </c>
      <c r="D15" s="25" t="s">
        <v>48</v>
      </c>
      <c r="E15" s="43"/>
      <c r="F15" s="27">
        <v>0</v>
      </c>
      <c r="G15" s="27"/>
      <c r="H15" s="44">
        <v>0</v>
      </c>
      <c r="I15" s="49">
        <f>H15*Subsector!$S$11</f>
        <v>0</v>
      </c>
      <c r="J15" s="26">
        <f>H15*Subsector!$S$12</f>
        <v>0</v>
      </c>
      <c r="K15" s="26">
        <f>H15*Subsector!$S$13</f>
        <v>0</v>
      </c>
      <c r="L15" s="26">
        <f>H15*Subsector!$S$15</f>
        <v>0</v>
      </c>
      <c r="M15" s="26">
        <f>H15*Subsector!$S$16</f>
        <v>0</v>
      </c>
      <c r="N15" s="66">
        <f>H15*Subsector!$S$17</f>
        <v>0</v>
      </c>
      <c r="O15" s="41">
        <f t="shared" si="2"/>
        <v>0</v>
      </c>
      <c r="P15" s="26">
        <f t="shared" si="2"/>
        <v>0</v>
      </c>
      <c r="Q15" s="26">
        <f t="shared" si="3"/>
        <v>0</v>
      </c>
      <c r="R15" s="26">
        <f t="shared" si="4"/>
        <v>0</v>
      </c>
      <c r="S15" s="26">
        <f t="shared" si="5"/>
        <v>0</v>
      </c>
      <c r="T15" s="26">
        <f t="shared" si="5"/>
        <v>0</v>
      </c>
      <c r="U15" s="42">
        <f t="shared" si="6"/>
        <v>0</v>
      </c>
    </row>
    <row r="16" spans="1:21" ht="19.95" customHeight="1" x14ac:dyDescent="0.3">
      <c r="A16" s="52"/>
      <c r="B16" s="24"/>
      <c r="C16" s="24">
        <v>64017</v>
      </c>
      <c r="D16" s="25" t="s">
        <v>49</v>
      </c>
      <c r="E16" s="43"/>
      <c r="F16" s="27">
        <v>0</v>
      </c>
      <c r="G16" s="27"/>
      <c r="H16" s="44">
        <v>0</v>
      </c>
      <c r="I16" s="49">
        <f>H16*Subsector!$S$11</f>
        <v>0</v>
      </c>
      <c r="J16" s="26">
        <f>H16*Subsector!$S$12</f>
        <v>0</v>
      </c>
      <c r="K16" s="26">
        <f>H16*Subsector!$S$13</f>
        <v>0</v>
      </c>
      <c r="L16" s="26">
        <f>H16*Subsector!$S$15</f>
        <v>0</v>
      </c>
      <c r="M16" s="26">
        <f>H16*Subsector!$S$16</f>
        <v>0</v>
      </c>
      <c r="N16" s="66">
        <f>H16*Subsector!$S$17</f>
        <v>0</v>
      </c>
      <c r="O16" s="41">
        <f t="shared" si="2"/>
        <v>0</v>
      </c>
      <c r="P16" s="26">
        <f t="shared" si="2"/>
        <v>0</v>
      </c>
      <c r="Q16" s="26">
        <f t="shared" si="3"/>
        <v>0</v>
      </c>
      <c r="R16" s="26">
        <f t="shared" si="4"/>
        <v>0</v>
      </c>
      <c r="S16" s="26">
        <f t="shared" si="5"/>
        <v>0</v>
      </c>
      <c r="T16" s="26">
        <f t="shared" si="5"/>
        <v>0</v>
      </c>
      <c r="U16" s="42">
        <f t="shared" si="6"/>
        <v>0</v>
      </c>
    </row>
    <row r="17" spans="1:21" ht="19.95" customHeight="1" x14ac:dyDescent="0.3">
      <c r="A17" s="52"/>
      <c r="B17" s="24"/>
      <c r="C17" s="24">
        <v>64018</v>
      </c>
      <c r="D17" s="25" t="s">
        <v>50</v>
      </c>
      <c r="E17" s="43"/>
      <c r="F17" s="27">
        <v>0</v>
      </c>
      <c r="G17" s="27"/>
      <c r="H17" s="44">
        <v>0</v>
      </c>
      <c r="I17" s="49">
        <f>H17*Subsector!$S$11</f>
        <v>0</v>
      </c>
      <c r="J17" s="26">
        <f>H17*Subsector!$S$12</f>
        <v>0</v>
      </c>
      <c r="K17" s="26">
        <f>H17*Subsector!$S$13</f>
        <v>0</v>
      </c>
      <c r="L17" s="26">
        <f>H17*Subsector!$S$15</f>
        <v>0</v>
      </c>
      <c r="M17" s="26">
        <f>H17*Subsector!$S$16</f>
        <v>0</v>
      </c>
      <c r="N17" s="66">
        <f>H17*Subsector!$S$17</f>
        <v>0</v>
      </c>
      <c r="O17" s="41">
        <f t="shared" si="2"/>
        <v>0</v>
      </c>
      <c r="P17" s="26">
        <f t="shared" si="2"/>
        <v>0</v>
      </c>
      <c r="Q17" s="26">
        <f t="shared" si="3"/>
        <v>0</v>
      </c>
      <c r="R17" s="26">
        <f t="shared" si="4"/>
        <v>0</v>
      </c>
      <c r="S17" s="26">
        <f t="shared" si="5"/>
        <v>0</v>
      </c>
      <c r="T17" s="26">
        <f t="shared" si="5"/>
        <v>0</v>
      </c>
      <c r="U17" s="42">
        <f t="shared" si="6"/>
        <v>0</v>
      </c>
    </row>
    <row r="18" spans="1:21" ht="19.95" customHeight="1" x14ac:dyDescent="0.3">
      <c r="A18" s="51"/>
      <c r="B18" s="23">
        <v>6402</v>
      </c>
      <c r="C18" s="23"/>
      <c r="D18" s="21" t="s">
        <v>51</v>
      </c>
      <c r="E18" s="39">
        <f>SUM(E19:E26)</f>
        <v>0</v>
      </c>
      <c r="F18" s="22">
        <f t="shared" ref="F18:U18" si="7">SUM(F19:F26)</f>
        <v>0</v>
      </c>
      <c r="G18" s="22">
        <f t="shared" si="7"/>
        <v>0</v>
      </c>
      <c r="H18" s="40">
        <f t="shared" si="7"/>
        <v>0</v>
      </c>
      <c r="I18" s="36">
        <f t="shared" si="7"/>
        <v>0</v>
      </c>
      <c r="J18" s="22">
        <f t="shared" si="7"/>
        <v>0</v>
      </c>
      <c r="K18" s="22">
        <f t="shared" si="7"/>
        <v>0</v>
      </c>
      <c r="L18" s="22">
        <f t="shared" si="7"/>
        <v>0</v>
      </c>
      <c r="M18" s="22">
        <f t="shared" si="7"/>
        <v>0</v>
      </c>
      <c r="N18" s="65">
        <f t="shared" si="7"/>
        <v>0</v>
      </c>
      <c r="O18" s="39">
        <f t="shared" si="7"/>
        <v>0</v>
      </c>
      <c r="P18" s="22">
        <f t="shared" si="7"/>
        <v>0</v>
      </c>
      <c r="Q18" s="22">
        <f t="shared" si="7"/>
        <v>0</v>
      </c>
      <c r="R18" s="22">
        <f t="shared" si="7"/>
        <v>0</v>
      </c>
      <c r="S18" s="22">
        <f t="shared" si="7"/>
        <v>0</v>
      </c>
      <c r="T18" s="22">
        <f t="shared" si="7"/>
        <v>0</v>
      </c>
      <c r="U18" s="40">
        <f t="shared" si="7"/>
        <v>0</v>
      </c>
    </row>
    <row r="19" spans="1:21" ht="19.95" customHeight="1" x14ac:dyDescent="0.3">
      <c r="A19" s="52"/>
      <c r="B19" s="24"/>
      <c r="C19" s="24">
        <v>64021</v>
      </c>
      <c r="D19" s="25" t="s">
        <v>52</v>
      </c>
      <c r="E19" s="43"/>
      <c r="F19" s="27"/>
      <c r="G19" s="27"/>
      <c r="H19" s="44"/>
      <c r="I19" s="49">
        <f>H19*Subsector!$S$11</f>
        <v>0</v>
      </c>
      <c r="J19" s="26">
        <f>H19*Subsector!$S$12</f>
        <v>0</v>
      </c>
      <c r="K19" s="26">
        <f>H19*Subsector!$S$13</f>
        <v>0</v>
      </c>
      <c r="L19" s="26">
        <f>H19*Subsector!$S$15</f>
        <v>0</v>
      </c>
      <c r="M19" s="26">
        <f>H19*Subsector!$S$16</f>
        <v>0</v>
      </c>
      <c r="N19" s="66">
        <f>H19*Subsector!$S$17</f>
        <v>0</v>
      </c>
      <c r="O19" s="41">
        <f t="shared" ref="O19:P26" si="8">ROUNDUP(SUM(E19,I19),1)</f>
        <v>0</v>
      </c>
      <c r="P19" s="26">
        <f t="shared" si="8"/>
        <v>0</v>
      </c>
      <c r="Q19" s="26">
        <f t="shared" ref="Q19:Q26" si="9">ROUNDUP(SUM(K19),1)</f>
        <v>0</v>
      </c>
      <c r="R19" s="26">
        <f t="shared" ref="R19:R26" si="10">ROUNDUP(SUM(G19,L19),1)</f>
        <v>0</v>
      </c>
      <c r="S19" s="26">
        <f t="shared" ref="S19:T26" si="11">ROUNDUP(SUM(M19),1)</f>
        <v>0</v>
      </c>
      <c r="T19" s="26">
        <f t="shared" si="11"/>
        <v>0</v>
      </c>
      <c r="U19" s="42">
        <f t="shared" ref="U19:U26" si="12">SUM(O19:T19)</f>
        <v>0</v>
      </c>
    </row>
    <row r="20" spans="1:21" ht="19.95" customHeight="1" x14ac:dyDescent="0.3">
      <c r="A20" s="52"/>
      <c r="B20" s="24"/>
      <c r="C20" s="24">
        <v>64022</v>
      </c>
      <c r="D20" s="25" t="s">
        <v>53</v>
      </c>
      <c r="E20" s="43"/>
      <c r="F20" s="27"/>
      <c r="G20" s="27"/>
      <c r="H20" s="44"/>
      <c r="I20" s="49">
        <f>H20*Subsector!$S$11</f>
        <v>0</v>
      </c>
      <c r="J20" s="26">
        <f>H20*Subsector!$S$12</f>
        <v>0</v>
      </c>
      <c r="K20" s="26">
        <f>H20*Subsector!$S$13</f>
        <v>0</v>
      </c>
      <c r="L20" s="26">
        <f>H20*Subsector!$S$15</f>
        <v>0</v>
      </c>
      <c r="M20" s="26">
        <f>H20*Subsector!$S$16</f>
        <v>0</v>
      </c>
      <c r="N20" s="66">
        <f>H20*Subsector!$S$17</f>
        <v>0</v>
      </c>
      <c r="O20" s="41">
        <f t="shared" si="8"/>
        <v>0</v>
      </c>
      <c r="P20" s="26">
        <f t="shared" si="8"/>
        <v>0</v>
      </c>
      <c r="Q20" s="26">
        <f t="shared" si="9"/>
        <v>0</v>
      </c>
      <c r="R20" s="26">
        <f t="shared" si="10"/>
        <v>0</v>
      </c>
      <c r="S20" s="26">
        <f t="shared" si="11"/>
        <v>0</v>
      </c>
      <c r="T20" s="26">
        <f t="shared" si="11"/>
        <v>0</v>
      </c>
      <c r="U20" s="42">
        <f t="shared" si="12"/>
        <v>0</v>
      </c>
    </row>
    <row r="21" spans="1:21" ht="19.95" customHeight="1" x14ac:dyDescent="0.3">
      <c r="A21" s="52"/>
      <c r="B21" s="24"/>
      <c r="C21" s="24">
        <v>64023</v>
      </c>
      <c r="D21" s="25" t="s">
        <v>54</v>
      </c>
      <c r="E21" s="43"/>
      <c r="F21" s="27"/>
      <c r="G21" s="27"/>
      <c r="H21" s="44"/>
      <c r="I21" s="49">
        <f>H21*Subsector!$S$11</f>
        <v>0</v>
      </c>
      <c r="J21" s="26">
        <f>H21*Subsector!$S$12</f>
        <v>0</v>
      </c>
      <c r="K21" s="26">
        <f>H21*Subsector!$S$13</f>
        <v>0</v>
      </c>
      <c r="L21" s="26">
        <f>H21*Subsector!$S$15</f>
        <v>0</v>
      </c>
      <c r="M21" s="26">
        <f>H21*Subsector!$S$16</f>
        <v>0</v>
      </c>
      <c r="N21" s="66">
        <f>H21*Subsector!$S$17</f>
        <v>0</v>
      </c>
      <c r="O21" s="41">
        <f t="shared" si="8"/>
        <v>0</v>
      </c>
      <c r="P21" s="26">
        <f t="shared" si="8"/>
        <v>0</v>
      </c>
      <c r="Q21" s="26">
        <f t="shared" si="9"/>
        <v>0</v>
      </c>
      <c r="R21" s="26">
        <f t="shared" si="10"/>
        <v>0</v>
      </c>
      <c r="S21" s="26">
        <f t="shared" si="11"/>
        <v>0</v>
      </c>
      <c r="T21" s="26">
        <f t="shared" si="11"/>
        <v>0</v>
      </c>
      <c r="U21" s="42">
        <f t="shared" si="12"/>
        <v>0</v>
      </c>
    </row>
    <row r="22" spans="1:21" ht="19.95" customHeight="1" x14ac:dyDescent="0.3">
      <c r="A22" s="52"/>
      <c r="B22" s="24"/>
      <c r="C22" s="24">
        <v>64024</v>
      </c>
      <c r="D22" s="25" t="s">
        <v>55</v>
      </c>
      <c r="E22" s="43"/>
      <c r="F22" s="27"/>
      <c r="G22" s="27"/>
      <c r="H22" s="44"/>
      <c r="I22" s="49">
        <f>H22*Subsector!$S$11</f>
        <v>0</v>
      </c>
      <c r="J22" s="26">
        <f>H22*Subsector!$S$12</f>
        <v>0</v>
      </c>
      <c r="K22" s="26">
        <f>H22*Subsector!$S$13</f>
        <v>0</v>
      </c>
      <c r="L22" s="26">
        <f>H22*Subsector!$S$15</f>
        <v>0</v>
      </c>
      <c r="M22" s="26">
        <f>H22*Subsector!$S$16</f>
        <v>0</v>
      </c>
      <c r="N22" s="66">
        <f>H22*Subsector!$S$17</f>
        <v>0</v>
      </c>
      <c r="O22" s="41">
        <f t="shared" si="8"/>
        <v>0</v>
      </c>
      <c r="P22" s="26">
        <f t="shared" si="8"/>
        <v>0</v>
      </c>
      <c r="Q22" s="26">
        <f t="shared" si="9"/>
        <v>0</v>
      </c>
      <c r="R22" s="26">
        <f t="shared" si="10"/>
        <v>0</v>
      </c>
      <c r="S22" s="26">
        <f t="shared" si="11"/>
        <v>0</v>
      </c>
      <c r="T22" s="26">
        <f t="shared" si="11"/>
        <v>0</v>
      </c>
      <c r="U22" s="42">
        <f t="shared" si="12"/>
        <v>0</v>
      </c>
    </row>
    <row r="23" spans="1:21" ht="19.95" customHeight="1" x14ac:dyDescent="0.3">
      <c r="A23" s="52"/>
      <c r="B23" s="24"/>
      <c r="C23" s="24">
        <v>64025</v>
      </c>
      <c r="D23" s="25" t="s">
        <v>56</v>
      </c>
      <c r="E23" s="43"/>
      <c r="F23" s="27"/>
      <c r="G23" s="27"/>
      <c r="H23" s="44"/>
      <c r="I23" s="49">
        <f>H23*Subsector!$S$11</f>
        <v>0</v>
      </c>
      <c r="J23" s="26">
        <f>H23*Subsector!$S$12</f>
        <v>0</v>
      </c>
      <c r="K23" s="26">
        <f>H23*Subsector!$S$13</f>
        <v>0</v>
      </c>
      <c r="L23" s="26">
        <f>H23*Subsector!$S$15</f>
        <v>0</v>
      </c>
      <c r="M23" s="26">
        <f>H23*Subsector!$S$16</f>
        <v>0</v>
      </c>
      <c r="N23" s="66">
        <f>H23*Subsector!$S$17</f>
        <v>0</v>
      </c>
      <c r="O23" s="41">
        <f t="shared" si="8"/>
        <v>0</v>
      </c>
      <c r="P23" s="26">
        <f t="shared" si="8"/>
        <v>0</v>
      </c>
      <c r="Q23" s="26">
        <f t="shared" si="9"/>
        <v>0</v>
      </c>
      <c r="R23" s="26">
        <f t="shared" si="10"/>
        <v>0</v>
      </c>
      <c r="S23" s="26">
        <f t="shared" si="11"/>
        <v>0</v>
      </c>
      <c r="T23" s="26">
        <f t="shared" si="11"/>
        <v>0</v>
      </c>
      <c r="U23" s="42">
        <f t="shared" si="12"/>
        <v>0</v>
      </c>
    </row>
    <row r="24" spans="1:21" ht="19.95" customHeight="1" x14ac:dyDescent="0.3">
      <c r="A24" s="52"/>
      <c r="B24" s="24"/>
      <c r="C24" s="24">
        <v>64026</v>
      </c>
      <c r="D24" s="25" t="s">
        <v>57</v>
      </c>
      <c r="E24" s="43"/>
      <c r="F24" s="27"/>
      <c r="G24" s="27"/>
      <c r="H24" s="44"/>
      <c r="I24" s="49">
        <f>H24*Subsector!$S$11</f>
        <v>0</v>
      </c>
      <c r="J24" s="26">
        <f>H24*Subsector!$S$12</f>
        <v>0</v>
      </c>
      <c r="K24" s="26">
        <f>H24*Subsector!$S$13</f>
        <v>0</v>
      </c>
      <c r="L24" s="26">
        <f>H24*Subsector!$S$15</f>
        <v>0</v>
      </c>
      <c r="M24" s="26">
        <f>H24*Subsector!$S$16</f>
        <v>0</v>
      </c>
      <c r="N24" s="66">
        <f>H24*Subsector!$S$17</f>
        <v>0</v>
      </c>
      <c r="O24" s="41">
        <f t="shared" si="8"/>
        <v>0</v>
      </c>
      <c r="P24" s="26">
        <f t="shared" si="8"/>
        <v>0</v>
      </c>
      <c r="Q24" s="26">
        <f t="shared" si="9"/>
        <v>0</v>
      </c>
      <c r="R24" s="26">
        <f t="shared" si="10"/>
        <v>0</v>
      </c>
      <c r="S24" s="26">
        <f t="shared" si="11"/>
        <v>0</v>
      </c>
      <c r="T24" s="26">
        <f t="shared" si="11"/>
        <v>0</v>
      </c>
      <c r="U24" s="42">
        <f t="shared" si="12"/>
        <v>0</v>
      </c>
    </row>
    <row r="25" spans="1:21" ht="19.95" customHeight="1" x14ac:dyDescent="0.3">
      <c r="A25" s="52"/>
      <c r="B25" s="24"/>
      <c r="C25" s="24">
        <v>64027</v>
      </c>
      <c r="D25" s="25" t="s">
        <v>58</v>
      </c>
      <c r="E25" s="43"/>
      <c r="F25" s="27"/>
      <c r="G25" s="27"/>
      <c r="H25" s="44"/>
      <c r="I25" s="49">
        <f>H25*Subsector!$S$11</f>
        <v>0</v>
      </c>
      <c r="J25" s="26">
        <f>H25*Subsector!$S$12</f>
        <v>0</v>
      </c>
      <c r="K25" s="26">
        <f>H25*Subsector!$S$13</f>
        <v>0</v>
      </c>
      <c r="L25" s="26">
        <f>H25*Subsector!$S$15</f>
        <v>0</v>
      </c>
      <c r="M25" s="26">
        <f>H25*Subsector!$S$16</f>
        <v>0</v>
      </c>
      <c r="N25" s="66">
        <f>H25*Subsector!$S$17</f>
        <v>0</v>
      </c>
      <c r="O25" s="41">
        <f t="shared" si="8"/>
        <v>0</v>
      </c>
      <c r="P25" s="26">
        <f t="shared" si="8"/>
        <v>0</v>
      </c>
      <c r="Q25" s="26">
        <f t="shared" si="9"/>
        <v>0</v>
      </c>
      <c r="R25" s="26">
        <f t="shared" si="10"/>
        <v>0</v>
      </c>
      <c r="S25" s="26">
        <f t="shared" si="11"/>
        <v>0</v>
      </c>
      <c r="T25" s="26">
        <f t="shared" si="11"/>
        <v>0</v>
      </c>
      <c r="U25" s="42">
        <f t="shared" si="12"/>
        <v>0</v>
      </c>
    </row>
    <row r="26" spans="1:21" ht="19.95" customHeight="1" x14ac:dyDescent="0.3">
      <c r="A26" s="52"/>
      <c r="B26" s="24"/>
      <c r="C26" s="24">
        <v>64028</v>
      </c>
      <c r="D26" s="25" t="s">
        <v>59</v>
      </c>
      <c r="E26" s="43"/>
      <c r="F26" s="27">
        <v>0</v>
      </c>
      <c r="G26" s="27"/>
      <c r="H26" s="44">
        <v>0</v>
      </c>
      <c r="I26" s="49">
        <f>H26*Subsector!$S$11</f>
        <v>0</v>
      </c>
      <c r="J26" s="26">
        <f>H26*Subsector!$S$12</f>
        <v>0</v>
      </c>
      <c r="K26" s="26">
        <f>H26*Subsector!$S$13</f>
        <v>0</v>
      </c>
      <c r="L26" s="26">
        <f>H26*Subsector!$S$15</f>
        <v>0</v>
      </c>
      <c r="M26" s="26">
        <f>H26*Subsector!$S$16</f>
        <v>0</v>
      </c>
      <c r="N26" s="66">
        <f>H26*Subsector!$S$17</f>
        <v>0</v>
      </c>
      <c r="O26" s="41">
        <f t="shared" si="8"/>
        <v>0</v>
      </c>
      <c r="P26" s="26">
        <f t="shared" si="8"/>
        <v>0</v>
      </c>
      <c r="Q26" s="26">
        <f t="shared" si="9"/>
        <v>0</v>
      </c>
      <c r="R26" s="26">
        <f t="shared" si="10"/>
        <v>0</v>
      </c>
      <c r="S26" s="26">
        <f t="shared" si="11"/>
        <v>0</v>
      </c>
      <c r="T26" s="26">
        <f t="shared" si="11"/>
        <v>0</v>
      </c>
      <c r="U26" s="42">
        <f t="shared" si="12"/>
        <v>0</v>
      </c>
    </row>
    <row r="27" spans="1:21" ht="19.95" customHeight="1" x14ac:dyDescent="0.3">
      <c r="A27" s="51"/>
      <c r="B27" s="23">
        <v>6403</v>
      </c>
      <c r="C27" s="23"/>
      <c r="D27" s="21" t="s">
        <v>60</v>
      </c>
      <c r="E27" s="39">
        <f>SUM(E28:E32)</f>
        <v>0</v>
      </c>
      <c r="F27" s="22">
        <f t="shared" ref="F27:U27" si="13">SUM(F28:F32)</f>
        <v>0</v>
      </c>
      <c r="G27" s="22">
        <f t="shared" si="13"/>
        <v>0</v>
      </c>
      <c r="H27" s="40">
        <f t="shared" si="13"/>
        <v>0</v>
      </c>
      <c r="I27" s="36">
        <f t="shared" si="13"/>
        <v>0</v>
      </c>
      <c r="J27" s="22">
        <f t="shared" si="13"/>
        <v>0</v>
      </c>
      <c r="K27" s="22">
        <f t="shared" si="13"/>
        <v>0</v>
      </c>
      <c r="L27" s="22">
        <f t="shared" si="13"/>
        <v>0</v>
      </c>
      <c r="M27" s="22">
        <f t="shared" si="13"/>
        <v>0</v>
      </c>
      <c r="N27" s="65">
        <f t="shared" si="13"/>
        <v>0</v>
      </c>
      <c r="O27" s="39">
        <f t="shared" si="13"/>
        <v>0</v>
      </c>
      <c r="P27" s="22">
        <f t="shared" si="13"/>
        <v>0</v>
      </c>
      <c r="Q27" s="22">
        <f t="shared" si="13"/>
        <v>0</v>
      </c>
      <c r="R27" s="22">
        <f t="shared" si="13"/>
        <v>0</v>
      </c>
      <c r="S27" s="22">
        <f t="shared" si="13"/>
        <v>0</v>
      </c>
      <c r="T27" s="22">
        <f t="shared" si="13"/>
        <v>0</v>
      </c>
      <c r="U27" s="40">
        <f t="shared" si="13"/>
        <v>0</v>
      </c>
    </row>
    <row r="28" spans="1:21" ht="19.95" customHeight="1" x14ac:dyDescent="0.3">
      <c r="A28" s="52"/>
      <c r="B28" s="24"/>
      <c r="C28" s="24">
        <v>64033</v>
      </c>
      <c r="D28" s="25" t="s">
        <v>61</v>
      </c>
      <c r="E28" s="43"/>
      <c r="F28" s="27">
        <v>0</v>
      </c>
      <c r="G28" s="27"/>
      <c r="H28" s="44">
        <v>0</v>
      </c>
      <c r="I28" s="49">
        <f>H28*Subsector!$S$11</f>
        <v>0</v>
      </c>
      <c r="J28" s="26">
        <f>H28*Subsector!$S$12</f>
        <v>0</v>
      </c>
      <c r="K28" s="26">
        <f>H28*Subsector!$S$13</f>
        <v>0</v>
      </c>
      <c r="L28" s="26">
        <f>H28*Subsector!$S$15</f>
        <v>0</v>
      </c>
      <c r="M28" s="26">
        <f>H28*Subsector!$S$16</f>
        <v>0</v>
      </c>
      <c r="N28" s="66">
        <f>H28*Subsector!$S$17</f>
        <v>0</v>
      </c>
      <c r="O28" s="41">
        <f t="shared" ref="O28:P32" si="14">ROUNDUP(SUM(E28,I28),1)</f>
        <v>0</v>
      </c>
      <c r="P28" s="26">
        <f t="shared" si="14"/>
        <v>0</v>
      </c>
      <c r="Q28" s="26">
        <f>ROUNDUP(SUM(K28),1)</f>
        <v>0</v>
      </c>
      <c r="R28" s="26">
        <f>ROUNDUP(SUM(G28,L28),1)</f>
        <v>0</v>
      </c>
      <c r="S28" s="26">
        <f t="shared" ref="S28:T32" si="15">ROUNDUP(SUM(M28),1)</f>
        <v>0</v>
      </c>
      <c r="T28" s="26">
        <f t="shared" si="15"/>
        <v>0</v>
      </c>
      <c r="U28" s="42">
        <f>SUM(O28:T28)</f>
        <v>0</v>
      </c>
    </row>
    <row r="29" spans="1:21" ht="19.95" customHeight="1" x14ac:dyDescent="0.3">
      <c r="A29" s="52"/>
      <c r="B29" s="24"/>
      <c r="C29" s="24">
        <v>64034</v>
      </c>
      <c r="D29" s="25" t="s">
        <v>62</v>
      </c>
      <c r="E29" s="43"/>
      <c r="F29" s="27">
        <v>0</v>
      </c>
      <c r="G29" s="27"/>
      <c r="H29" s="44">
        <v>0</v>
      </c>
      <c r="I29" s="49">
        <f>H29*Subsector!$S$11</f>
        <v>0</v>
      </c>
      <c r="J29" s="26">
        <f>H29*Subsector!$S$12</f>
        <v>0</v>
      </c>
      <c r="K29" s="26">
        <f>H29*Subsector!$S$13</f>
        <v>0</v>
      </c>
      <c r="L29" s="26">
        <f>H29*Subsector!$S$15</f>
        <v>0</v>
      </c>
      <c r="M29" s="26">
        <f>H29*Subsector!$S$16</f>
        <v>0</v>
      </c>
      <c r="N29" s="66">
        <f>H29*Subsector!$S$17</f>
        <v>0</v>
      </c>
      <c r="O29" s="41">
        <f t="shared" si="14"/>
        <v>0</v>
      </c>
      <c r="P29" s="26">
        <f t="shared" si="14"/>
        <v>0</v>
      </c>
      <c r="Q29" s="26">
        <f>ROUNDUP(SUM(K29),1)</f>
        <v>0</v>
      </c>
      <c r="R29" s="26">
        <f>ROUNDUP(SUM(G29,L29),1)</f>
        <v>0</v>
      </c>
      <c r="S29" s="26">
        <f t="shared" si="15"/>
        <v>0</v>
      </c>
      <c r="T29" s="26">
        <f t="shared" si="15"/>
        <v>0</v>
      </c>
      <c r="U29" s="42">
        <f>SUM(O29:T29)</f>
        <v>0</v>
      </c>
    </row>
    <row r="30" spans="1:21" ht="19.95" customHeight="1" x14ac:dyDescent="0.3">
      <c r="A30" s="52"/>
      <c r="B30" s="24"/>
      <c r="C30" s="24">
        <v>64035</v>
      </c>
      <c r="D30" s="25" t="s">
        <v>63</v>
      </c>
      <c r="E30" s="43"/>
      <c r="F30" s="27">
        <v>0</v>
      </c>
      <c r="G30" s="27"/>
      <c r="H30" s="44">
        <v>0</v>
      </c>
      <c r="I30" s="49">
        <f>H30*Subsector!$S$11</f>
        <v>0</v>
      </c>
      <c r="J30" s="26">
        <f>H30*Subsector!$S$12</f>
        <v>0</v>
      </c>
      <c r="K30" s="26">
        <f>H30*Subsector!$S$13</f>
        <v>0</v>
      </c>
      <c r="L30" s="26">
        <f>H30*Subsector!$S$15</f>
        <v>0</v>
      </c>
      <c r="M30" s="26">
        <f>H30*Subsector!$S$16</f>
        <v>0</v>
      </c>
      <c r="N30" s="66">
        <f>H30*Subsector!$S$17</f>
        <v>0</v>
      </c>
      <c r="O30" s="41">
        <f t="shared" si="14"/>
        <v>0</v>
      </c>
      <c r="P30" s="26">
        <f t="shared" si="14"/>
        <v>0</v>
      </c>
      <c r="Q30" s="26">
        <f>ROUNDUP(SUM(K30),1)</f>
        <v>0</v>
      </c>
      <c r="R30" s="26">
        <f>ROUNDUP(SUM(G30,L30),1)</f>
        <v>0</v>
      </c>
      <c r="S30" s="26">
        <f t="shared" si="15"/>
        <v>0</v>
      </c>
      <c r="T30" s="26">
        <f t="shared" si="15"/>
        <v>0</v>
      </c>
      <c r="U30" s="42">
        <f>SUM(O30:T30)</f>
        <v>0</v>
      </c>
    </row>
    <row r="31" spans="1:21" ht="19.95" customHeight="1" x14ac:dyDescent="0.3">
      <c r="A31" s="52"/>
      <c r="B31" s="24"/>
      <c r="C31" s="24">
        <v>64037</v>
      </c>
      <c r="D31" s="25" t="s">
        <v>64</v>
      </c>
      <c r="E31" s="43"/>
      <c r="F31" s="27">
        <v>0</v>
      </c>
      <c r="G31" s="27"/>
      <c r="H31" s="44">
        <v>0</v>
      </c>
      <c r="I31" s="49">
        <f>H31*Subsector!$S$11</f>
        <v>0</v>
      </c>
      <c r="J31" s="26">
        <f>H31*Subsector!$S$12</f>
        <v>0</v>
      </c>
      <c r="K31" s="26">
        <f>H31*Subsector!$S$13</f>
        <v>0</v>
      </c>
      <c r="L31" s="26">
        <f>H31*Subsector!$S$15</f>
        <v>0</v>
      </c>
      <c r="M31" s="26">
        <f>H31*Subsector!$S$16</f>
        <v>0</v>
      </c>
      <c r="N31" s="66">
        <f>H31*Subsector!$S$17</f>
        <v>0</v>
      </c>
      <c r="O31" s="41">
        <f t="shared" si="14"/>
        <v>0</v>
      </c>
      <c r="P31" s="26">
        <f t="shared" si="14"/>
        <v>0</v>
      </c>
      <c r="Q31" s="26">
        <f>ROUNDUP(SUM(K31),1)</f>
        <v>0</v>
      </c>
      <c r="R31" s="26">
        <f>ROUNDUP(SUM(G31,L31),1)</f>
        <v>0</v>
      </c>
      <c r="S31" s="26">
        <f t="shared" si="15"/>
        <v>0</v>
      </c>
      <c r="T31" s="26">
        <f t="shared" si="15"/>
        <v>0</v>
      </c>
      <c r="U31" s="42">
        <f>SUM(O31:T31)</f>
        <v>0</v>
      </c>
    </row>
    <row r="32" spans="1:21" ht="19.95" customHeight="1" x14ac:dyDescent="0.3">
      <c r="A32" s="52"/>
      <c r="B32" s="24"/>
      <c r="C32" s="24">
        <v>64038</v>
      </c>
      <c r="D32" s="25" t="s">
        <v>60</v>
      </c>
      <c r="E32" s="43"/>
      <c r="F32" s="27">
        <v>0</v>
      </c>
      <c r="G32" s="27"/>
      <c r="H32" s="44">
        <v>0</v>
      </c>
      <c r="I32" s="49">
        <f>H32*Subsector!$S$11</f>
        <v>0</v>
      </c>
      <c r="J32" s="26">
        <f>H32*Subsector!$S$12</f>
        <v>0</v>
      </c>
      <c r="K32" s="26">
        <f>H32*Subsector!$S$13</f>
        <v>0</v>
      </c>
      <c r="L32" s="26">
        <f>H32*Subsector!$S$15</f>
        <v>0</v>
      </c>
      <c r="M32" s="26">
        <f>H32*Subsector!$S$16</f>
        <v>0</v>
      </c>
      <c r="N32" s="66">
        <f>H32*Subsector!$S$17</f>
        <v>0</v>
      </c>
      <c r="O32" s="41">
        <f t="shared" si="14"/>
        <v>0</v>
      </c>
      <c r="P32" s="26">
        <f t="shared" si="14"/>
        <v>0</v>
      </c>
      <c r="Q32" s="26">
        <f>ROUNDUP(SUM(K32),1)</f>
        <v>0</v>
      </c>
      <c r="R32" s="26">
        <f>ROUNDUP(SUM(G32,L32),1)</f>
        <v>0</v>
      </c>
      <c r="S32" s="26">
        <f t="shared" si="15"/>
        <v>0</v>
      </c>
      <c r="T32" s="26">
        <f t="shared" si="15"/>
        <v>0</v>
      </c>
      <c r="U32" s="42">
        <f>SUM(O32:T32)</f>
        <v>0</v>
      </c>
    </row>
    <row r="33" spans="1:21" ht="19.95" customHeight="1" x14ac:dyDescent="0.3">
      <c r="A33" s="51"/>
      <c r="B33" s="23">
        <v>6404</v>
      </c>
      <c r="C33" s="23"/>
      <c r="D33" s="21" t="s">
        <v>65</v>
      </c>
      <c r="E33" s="39">
        <f>SUM(E34:E36)</f>
        <v>0</v>
      </c>
      <c r="F33" s="22">
        <f t="shared" ref="F33:U33" si="16">SUM(F34:F36)</f>
        <v>0</v>
      </c>
      <c r="G33" s="22">
        <f t="shared" si="16"/>
        <v>0</v>
      </c>
      <c r="H33" s="40">
        <f t="shared" si="16"/>
        <v>0</v>
      </c>
      <c r="I33" s="36">
        <f t="shared" si="16"/>
        <v>0</v>
      </c>
      <c r="J33" s="22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65">
        <f t="shared" si="16"/>
        <v>0</v>
      </c>
      <c r="O33" s="39">
        <f t="shared" si="16"/>
        <v>0</v>
      </c>
      <c r="P33" s="22">
        <f t="shared" si="16"/>
        <v>0</v>
      </c>
      <c r="Q33" s="22">
        <f t="shared" si="16"/>
        <v>0</v>
      </c>
      <c r="R33" s="22">
        <f t="shared" si="16"/>
        <v>0</v>
      </c>
      <c r="S33" s="22">
        <f t="shared" si="16"/>
        <v>0</v>
      </c>
      <c r="T33" s="22">
        <f t="shared" si="16"/>
        <v>0</v>
      </c>
      <c r="U33" s="40">
        <f t="shared" si="16"/>
        <v>0</v>
      </c>
    </row>
    <row r="34" spans="1:21" ht="19.95" customHeight="1" x14ac:dyDescent="0.3">
      <c r="A34" s="52"/>
      <c r="B34" s="24"/>
      <c r="C34" s="24">
        <v>64041</v>
      </c>
      <c r="D34" s="25" t="s">
        <v>66</v>
      </c>
      <c r="E34" s="43"/>
      <c r="F34" s="27"/>
      <c r="G34" s="27"/>
      <c r="H34" s="44"/>
      <c r="I34" s="49">
        <f>H34*Subsector!$S$11</f>
        <v>0</v>
      </c>
      <c r="J34" s="26">
        <f>H34*Subsector!$S$12</f>
        <v>0</v>
      </c>
      <c r="K34" s="26">
        <f>H34*Subsector!$S$13</f>
        <v>0</v>
      </c>
      <c r="L34" s="26">
        <f>H34*Subsector!$S$15</f>
        <v>0</v>
      </c>
      <c r="M34" s="26">
        <f>H34*Subsector!$S$16</f>
        <v>0</v>
      </c>
      <c r="N34" s="66">
        <f>H34*Subsector!$S$17</f>
        <v>0</v>
      </c>
      <c r="O34" s="41">
        <f t="shared" ref="O34:P36" si="17">ROUNDUP(SUM(E34,I34),1)</f>
        <v>0</v>
      </c>
      <c r="P34" s="26">
        <f t="shared" si="17"/>
        <v>0</v>
      </c>
      <c r="Q34" s="26">
        <f>ROUNDUP(SUM(K34),1)</f>
        <v>0</v>
      </c>
      <c r="R34" s="26">
        <f>ROUNDUP(SUM(G34,L34),1)</f>
        <v>0</v>
      </c>
      <c r="S34" s="26">
        <f t="shared" ref="S34:T36" si="18">ROUNDUP(SUM(M34),1)</f>
        <v>0</v>
      </c>
      <c r="T34" s="26">
        <f t="shared" si="18"/>
        <v>0</v>
      </c>
      <c r="U34" s="42">
        <f>SUM(O34:T34)</f>
        <v>0</v>
      </c>
    </row>
    <row r="35" spans="1:21" ht="19.95" customHeight="1" x14ac:dyDescent="0.3">
      <c r="A35" s="52"/>
      <c r="B35" s="24"/>
      <c r="C35" s="24">
        <v>64042</v>
      </c>
      <c r="D35" s="25" t="s">
        <v>67</v>
      </c>
      <c r="E35" s="43"/>
      <c r="F35" s="27"/>
      <c r="G35" s="27"/>
      <c r="H35" s="44"/>
      <c r="I35" s="49">
        <f>H35*Subsector!$S$11</f>
        <v>0</v>
      </c>
      <c r="J35" s="26">
        <f>H35*Subsector!$S$12</f>
        <v>0</v>
      </c>
      <c r="K35" s="26">
        <f>H35*Subsector!$S$13</f>
        <v>0</v>
      </c>
      <c r="L35" s="26">
        <f>H35*Subsector!$S$15</f>
        <v>0</v>
      </c>
      <c r="M35" s="26">
        <f>H35*Subsector!$S$16</f>
        <v>0</v>
      </c>
      <c r="N35" s="66">
        <f>H35*Subsector!$S$17</f>
        <v>0</v>
      </c>
      <c r="O35" s="41">
        <f t="shared" si="17"/>
        <v>0</v>
      </c>
      <c r="P35" s="26">
        <f t="shared" si="17"/>
        <v>0</v>
      </c>
      <c r="Q35" s="26">
        <f>ROUNDUP(SUM(K35),1)</f>
        <v>0</v>
      </c>
      <c r="R35" s="26">
        <f>ROUNDUP(SUM(G35,L35),1)</f>
        <v>0</v>
      </c>
      <c r="S35" s="26">
        <f t="shared" si="18"/>
        <v>0</v>
      </c>
      <c r="T35" s="26">
        <f t="shared" si="18"/>
        <v>0</v>
      </c>
      <c r="U35" s="42">
        <f>SUM(O35:T35)</f>
        <v>0</v>
      </c>
    </row>
    <row r="36" spans="1:21" ht="19.95" customHeight="1" x14ac:dyDescent="0.3">
      <c r="A36" s="53"/>
      <c r="B36" s="23"/>
      <c r="C36" s="24">
        <v>64048</v>
      </c>
      <c r="D36" s="25" t="s">
        <v>68</v>
      </c>
      <c r="E36" s="43"/>
      <c r="F36" s="27"/>
      <c r="G36" s="27"/>
      <c r="H36" s="44"/>
      <c r="I36" s="49">
        <f>H36*Subsector!$S$11</f>
        <v>0</v>
      </c>
      <c r="J36" s="26">
        <f>H36*Subsector!$S$12</f>
        <v>0</v>
      </c>
      <c r="K36" s="26">
        <f>H36*Subsector!$S$13</f>
        <v>0</v>
      </c>
      <c r="L36" s="26">
        <f>H36*Subsector!$S$15</f>
        <v>0</v>
      </c>
      <c r="M36" s="26">
        <f>H36*Subsector!$S$16</f>
        <v>0</v>
      </c>
      <c r="N36" s="66">
        <f>H36*Subsector!$S$17</f>
        <v>0</v>
      </c>
      <c r="O36" s="41">
        <f t="shared" si="17"/>
        <v>0</v>
      </c>
      <c r="P36" s="26">
        <f t="shared" si="17"/>
        <v>0</v>
      </c>
      <c r="Q36" s="26">
        <f>ROUNDUP(SUM(K36),1)</f>
        <v>0</v>
      </c>
      <c r="R36" s="26">
        <f>ROUNDUP(SUM(G36,L36),1)</f>
        <v>0</v>
      </c>
      <c r="S36" s="26">
        <f t="shared" si="18"/>
        <v>0</v>
      </c>
      <c r="T36" s="26">
        <f t="shared" si="18"/>
        <v>0</v>
      </c>
      <c r="U36" s="42">
        <f>SUM(O36:T36)</f>
        <v>0</v>
      </c>
    </row>
    <row r="37" spans="1:21" ht="19.95" customHeight="1" x14ac:dyDescent="0.3">
      <c r="A37" s="54"/>
      <c r="B37" s="23">
        <v>6405</v>
      </c>
      <c r="C37" s="23"/>
      <c r="D37" s="21" t="s">
        <v>69</v>
      </c>
      <c r="E37" s="39">
        <f>SUM(E38:E44)</f>
        <v>0</v>
      </c>
      <c r="F37" s="22">
        <f t="shared" ref="F37:U37" si="19">SUM(F38:F44)</f>
        <v>0</v>
      </c>
      <c r="G37" s="22">
        <f t="shared" si="19"/>
        <v>0</v>
      </c>
      <c r="H37" s="40">
        <f t="shared" si="19"/>
        <v>0</v>
      </c>
      <c r="I37" s="36">
        <f t="shared" si="19"/>
        <v>0</v>
      </c>
      <c r="J37" s="22">
        <f t="shared" si="19"/>
        <v>0</v>
      </c>
      <c r="K37" s="22">
        <f t="shared" si="19"/>
        <v>0</v>
      </c>
      <c r="L37" s="22">
        <f t="shared" si="19"/>
        <v>0</v>
      </c>
      <c r="M37" s="22">
        <f t="shared" si="19"/>
        <v>0</v>
      </c>
      <c r="N37" s="65">
        <f t="shared" si="19"/>
        <v>0</v>
      </c>
      <c r="O37" s="39">
        <f t="shared" si="19"/>
        <v>0</v>
      </c>
      <c r="P37" s="22">
        <f t="shared" si="19"/>
        <v>0</v>
      </c>
      <c r="Q37" s="22">
        <f t="shared" si="19"/>
        <v>0</v>
      </c>
      <c r="R37" s="22">
        <f t="shared" si="19"/>
        <v>0</v>
      </c>
      <c r="S37" s="22">
        <f t="shared" si="19"/>
        <v>0</v>
      </c>
      <c r="T37" s="22">
        <f t="shared" si="19"/>
        <v>0</v>
      </c>
      <c r="U37" s="40">
        <f t="shared" si="19"/>
        <v>0</v>
      </c>
    </row>
    <row r="38" spans="1:21" ht="19.95" customHeight="1" x14ac:dyDescent="0.3">
      <c r="A38" s="55"/>
      <c r="B38" s="23"/>
      <c r="C38" s="24">
        <v>64051</v>
      </c>
      <c r="D38" s="25" t="s">
        <v>70</v>
      </c>
      <c r="E38" s="43"/>
      <c r="F38" s="27"/>
      <c r="G38" s="27"/>
      <c r="H38" s="44"/>
      <c r="I38" s="49">
        <f>H38*Subsector!$S$11</f>
        <v>0</v>
      </c>
      <c r="J38" s="26">
        <f>H38*Subsector!$S$12</f>
        <v>0</v>
      </c>
      <c r="K38" s="26">
        <f>H38*Subsector!$S$13</f>
        <v>0</v>
      </c>
      <c r="L38" s="26">
        <f>H38*Subsector!$S$15</f>
        <v>0</v>
      </c>
      <c r="M38" s="26">
        <f>H38*Subsector!$S$16</f>
        <v>0</v>
      </c>
      <c r="N38" s="66">
        <f>H38*Subsector!$S$17</f>
        <v>0</v>
      </c>
      <c r="O38" s="41">
        <f t="shared" ref="O38:P44" si="20">ROUNDUP(SUM(E38,I38),1)</f>
        <v>0</v>
      </c>
      <c r="P38" s="26">
        <f t="shared" si="20"/>
        <v>0</v>
      </c>
      <c r="Q38" s="26">
        <f t="shared" ref="Q38:Q44" si="21">ROUNDUP(SUM(K38),1)</f>
        <v>0</v>
      </c>
      <c r="R38" s="26">
        <f t="shared" ref="R38:R44" si="22">ROUNDUP(SUM(G38,L38),1)</f>
        <v>0</v>
      </c>
      <c r="S38" s="26">
        <f t="shared" ref="S38:T44" si="23">ROUNDUP(SUM(M38),1)</f>
        <v>0</v>
      </c>
      <c r="T38" s="26">
        <f t="shared" si="23"/>
        <v>0</v>
      </c>
      <c r="U38" s="42">
        <f t="shared" ref="U38:U44" si="24">SUM(O38:T38)</f>
        <v>0</v>
      </c>
    </row>
    <row r="39" spans="1:21" ht="19.95" customHeight="1" x14ac:dyDescent="0.3">
      <c r="A39" s="55"/>
      <c r="B39" s="24"/>
      <c r="C39" s="24">
        <v>64052</v>
      </c>
      <c r="D39" s="25" t="s">
        <v>71</v>
      </c>
      <c r="E39" s="43"/>
      <c r="F39" s="27"/>
      <c r="G39" s="27"/>
      <c r="H39" s="44"/>
      <c r="I39" s="49">
        <f>H39*Subsector!$S$11</f>
        <v>0</v>
      </c>
      <c r="J39" s="26">
        <f>H39*Subsector!$S$12</f>
        <v>0</v>
      </c>
      <c r="K39" s="26">
        <f>H39*Subsector!$S$13</f>
        <v>0</v>
      </c>
      <c r="L39" s="26">
        <f>H39*Subsector!$S$15</f>
        <v>0</v>
      </c>
      <c r="M39" s="26">
        <f>H39*Subsector!$S$16</f>
        <v>0</v>
      </c>
      <c r="N39" s="66">
        <f>H39*Subsector!$S$17</f>
        <v>0</v>
      </c>
      <c r="O39" s="41">
        <f t="shared" si="20"/>
        <v>0</v>
      </c>
      <c r="P39" s="26">
        <f t="shared" si="20"/>
        <v>0</v>
      </c>
      <c r="Q39" s="26">
        <f t="shared" si="21"/>
        <v>0</v>
      </c>
      <c r="R39" s="26">
        <f t="shared" si="22"/>
        <v>0</v>
      </c>
      <c r="S39" s="26">
        <f t="shared" si="23"/>
        <v>0</v>
      </c>
      <c r="T39" s="26">
        <f t="shared" si="23"/>
        <v>0</v>
      </c>
      <c r="U39" s="42">
        <f t="shared" si="24"/>
        <v>0</v>
      </c>
    </row>
    <row r="40" spans="1:21" ht="19.95" customHeight="1" x14ac:dyDescent="0.3">
      <c r="A40" s="55"/>
      <c r="B40" s="24"/>
      <c r="C40" s="24">
        <v>64053</v>
      </c>
      <c r="D40" s="25" t="s">
        <v>72</v>
      </c>
      <c r="E40" s="43"/>
      <c r="F40" s="27"/>
      <c r="G40" s="27"/>
      <c r="H40" s="44"/>
      <c r="I40" s="49">
        <f>H40*Subsector!$S$11</f>
        <v>0</v>
      </c>
      <c r="J40" s="26">
        <f>H40*Subsector!$S$12</f>
        <v>0</v>
      </c>
      <c r="K40" s="26">
        <f>H40*Subsector!$S$13</f>
        <v>0</v>
      </c>
      <c r="L40" s="26">
        <f>H40*Subsector!$S$15</f>
        <v>0</v>
      </c>
      <c r="M40" s="26">
        <f>H40*Subsector!$S$16</f>
        <v>0</v>
      </c>
      <c r="N40" s="66">
        <f>H40*Subsector!$S$17</f>
        <v>0</v>
      </c>
      <c r="O40" s="41">
        <f t="shared" si="20"/>
        <v>0</v>
      </c>
      <c r="P40" s="26">
        <f t="shared" si="20"/>
        <v>0</v>
      </c>
      <c r="Q40" s="26">
        <f t="shared" si="21"/>
        <v>0</v>
      </c>
      <c r="R40" s="26">
        <f t="shared" si="22"/>
        <v>0</v>
      </c>
      <c r="S40" s="26">
        <f t="shared" si="23"/>
        <v>0</v>
      </c>
      <c r="T40" s="26">
        <f t="shared" si="23"/>
        <v>0</v>
      </c>
      <c r="U40" s="42">
        <f t="shared" si="24"/>
        <v>0</v>
      </c>
    </row>
    <row r="41" spans="1:21" ht="19.95" customHeight="1" x14ac:dyDescent="0.3">
      <c r="A41" s="55"/>
      <c r="B41" s="24"/>
      <c r="C41" s="24">
        <v>64054</v>
      </c>
      <c r="D41" s="25" t="s">
        <v>73</v>
      </c>
      <c r="E41" s="43"/>
      <c r="F41" s="27"/>
      <c r="G41" s="27"/>
      <c r="H41" s="44"/>
      <c r="I41" s="49">
        <f>H41*Subsector!$S$11</f>
        <v>0</v>
      </c>
      <c r="J41" s="26">
        <f>H41*Subsector!$S$12</f>
        <v>0</v>
      </c>
      <c r="K41" s="26">
        <f>H41*Subsector!$S$13</f>
        <v>0</v>
      </c>
      <c r="L41" s="26">
        <f>H41*Subsector!$S$15</f>
        <v>0</v>
      </c>
      <c r="M41" s="26">
        <f>H41*Subsector!$S$16</f>
        <v>0</v>
      </c>
      <c r="N41" s="66">
        <f>H41*Subsector!$S$17</f>
        <v>0</v>
      </c>
      <c r="O41" s="41">
        <f t="shared" si="20"/>
        <v>0</v>
      </c>
      <c r="P41" s="26">
        <f t="shared" si="20"/>
        <v>0</v>
      </c>
      <c r="Q41" s="26">
        <f t="shared" si="21"/>
        <v>0</v>
      </c>
      <c r="R41" s="26">
        <f t="shared" si="22"/>
        <v>0</v>
      </c>
      <c r="S41" s="26">
        <f t="shared" si="23"/>
        <v>0</v>
      </c>
      <c r="T41" s="26">
        <f t="shared" si="23"/>
        <v>0</v>
      </c>
      <c r="U41" s="42">
        <f t="shared" si="24"/>
        <v>0</v>
      </c>
    </row>
    <row r="42" spans="1:21" ht="19.95" customHeight="1" x14ac:dyDescent="0.3">
      <c r="A42" s="55"/>
      <c r="B42" s="24"/>
      <c r="C42" s="24">
        <v>64055</v>
      </c>
      <c r="D42" s="25" t="s">
        <v>74</v>
      </c>
      <c r="E42" s="43"/>
      <c r="F42" s="27"/>
      <c r="G42" s="27"/>
      <c r="H42" s="44"/>
      <c r="I42" s="49">
        <f>H42*Subsector!$S$11</f>
        <v>0</v>
      </c>
      <c r="J42" s="26">
        <f>H42*Subsector!$S$12</f>
        <v>0</v>
      </c>
      <c r="K42" s="26">
        <f>H42*Subsector!$S$13</f>
        <v>0</v>
      </c>
      <c r="L42" s="26">
        <f>H42*Subsector!$S$15</f>
        <v>0</v>
      </c>
      <c r="M42" s="26">
        <f>H42*Subsector!$S$16</f>
        <v>0</v>
      </c>
      <c r="N42" s="66">
        <f>H42*Subsector!$S$17</f>
        <v>0</v>
      </c>
      <c r="O42" s="41">
        <f t="shared" si="20"/>
        <v>0</v>
      </c>
      <c r="P42" s="26">
        <f t="shared" si="20"/>
        <v>0</v>
      </c>
      <c r="Q42" s="26">
        <f t="shared" si="21"/>
        <v>0</v>
      </c>
      <c r="R42" s="26">
        <f t="shared" si="22"/>
        <v>0</v>
      </c>
      <c r="S42" s="26">
        <f t="shared" si="23"/>
        <v>0</v>
      </c>
      <c r="T42" s="26">
        <f t="shared" si="23"/>
        <v>0</v>
      </c>
      <c r="U42" s="42">
        <f t="shared" si="24"/>
        <v>0</v>
      </c>
    </row>
    <row r="43" spans="1:21" ht="19.95" customHeight="1" x14ac:dyDescent="0.3">
      <c r="A43" s="55"/>
      <c r="B43" s="24"/>
      <c r="C43" s="24">
        <v>64056</v>
      </c>
      <c r="D43" s="25" t="s">
        <v>75</v>
      </c>
      <c r="E43" s="43"/>
      <c r="F43" s="27">
        <v>0</v>
      </c>
      <c r="G43" s="27"/>
      <c r="H43" s="44">
        <v>0</v>
      </c>
      <c r="I43" s="49">
        <f>H43*Subsector!$S$11</f>
        <v>0</v>
      </c>
      <c r="J43" s="26">
        <f>H43*Subsector!$S$12</f>
        <v>0</v>
      </c>
      <c r="K43" s="26">
        <f>H43*Subsector!$S$13</f>
        <v>0</v>
      </c>
      <c r="L43" s="26">
        <f>H43*Subsector!$S$15</f>
        <v>0</v>
      </c>
      <c r="M43" s="26">
        <f>H43*Subsector!$S$16</f>
        <v>0</v>
      </c>
      <c r="N43" s="66">
        <f>H43*Subsector!$S$17</f>
        <v>0</v>
      </c>
      <c r="O43" s="41">
        <f t="shared" si="20"/>
        <v>0</v>
      </c>
      <c r="P43" s="26">
        <f t="shared" si="20"/>
        <v>0</v>
      </c>
      <c r="Q43" s="26">
        <f t="shared" si="21"/>
        <v>0</v>
      </c>
      <c r="R43" s="26">
        <f t="shared" si="22"/>
        <v>0</v>
      </c>
      <c r="S43" s="26">
        <f t="shared" si="23"/>
        <v>0</v>
      </c>
      <c r="T43" s="26">
        <f t="shared" si="23"/>
        <v>0</v>
      </c>
      <c r="U43" s="42">
        <f t="shared" si="24"/>
        <v>0</v>
      </c>
    </row>
    <row r="44" spans="1:21" ht="19.95" customHeight="1" x14ac:dyDescent="0.3">
      <c r="A44" s="55"/>
      <c r="B44" s="24"/>
      <c r="C44" s="24">
        <v>64058</v>
      </c>
      <c r="D44" s="25" t="s">
        <v>76</v>
      </c>
      <c r="E44" s="43"/>
      <c r="F44" s="27">
        <v>0</v>
      </c>
      <c r="G44" s="27"/>
      <c r="H44" s="44">
        <v>0</v>
      </c>
      <c r="I44" s="49">
        <f>H44*Subsector!$S$11</f>
        <v>0</v>
      </c>
      <c r="J44" s="26">
        <f>H44*Subsector!$S$12</f>
        <v>0</v>
      </c>
      <c r="K44" s="26">
        <f>H44*Subsector!$S$13</f>
        <v>0</v>
      </c>
      <c r="L44" s="26">
        <f>H44*Subsector!$S$15</f>
        <v>0</v>
      </c>
      <c r="M44" s="26">
        <f>H44*Subsector!$S$16</f>
        <v>0</v>
      </c>
      <c r="N44" s="66">
        <f>H44*Subsector!$S$17</f>
        <v>0</v>
      </c>
      <c r="O44" s="41">
        <f t="shared" si="20"/>
        <v>0</v>
      </c>
      <c r="P44" s="26">
        <f t="shared" si="20"/>
        <v>0</v>
      </c>
      <c r="Q44" s="26">
        <f t="shared" si="21"/>
        <v>0</v>
      </c>
      <c r="R44" s="26">
        <f t="shared" si="22"/>
        <v>0</v>
      </c>
      <c r="S44" s="26">
        <f t="shared" si="23"/>
        <v>0</v>
      </c>
      <c r="T44" s="26">
        <f t="shared" si="23"/>
        <v>0</v>
      </c>
      <c r="U44" s="42">
        <f t="shared" si="24"/>
        <v>0</v>
      </c>
    </row>
    <row r="45" spans="1:21" ht="19.95" customHeight="1" x14ac:dyDescent="0.3">
      <c r="A45" s="54"/>
      <c r="B45" s="28">
        <v>6406</v>
      </c>
      <c r="C45" s="23"/>
      <c r="D45" s="21" t="s">
        <v>77</v>
      </c>
      <c r="E45" s="39">
        <f>SUM(E46:E49)</f>
        <v>0</v>
      </c>
      <c r="F45" s="22">
        <f t="shared" ref="F45:U45" si="25">SUM(F46:F49)</f>
        <v>0</v>
      </c>
      <c r="G45" s="22">
        <f t="shared" si="25"/>
        <v>0</v>
      </c>
      <c r="H45" s="40">
        <f t="shared" si="25"/>
        <v>0</v>
      </c>
      <c r="I45" s="36">
        <f t="shared" si="25"/>
        <v>0</v>
      </c>
      <c r="J45" s="22">
        <f t="shared" si="25"/>
        <v>0</v>
      </c>
      <c r="K45" s="22">
        <f t="shared" si="25"/>
        <v>0</v>
      </c>
      <c r="L45" s="22">
        <f t="shared" si="25"/>
        <v>0</v>
      </c>
      <c r="M45" s="22">
        <f t="shared" si="25"/>
        <v>0</v>
      </c>
      <c r="N45" s="65">
        <f t="shared" si="25"/>
        <v>0</v>
      </c>
      <c r="O45" s="39">
        <f t="shared" si="25"/>
        <v>0</v>
      </c>
      <c r="P45" s="22">
        <f t="shared" si="25"/>
        <v>0</v>
      </c>
      <c r="Q45" s="22">
        <f t="shared" si="25"/>
        <v>0</v>
      </c>
      <c r="R45" s="22">
        <f t="shared" si="25"/>
        <v>0</v>
      </c>
      <c r="S45" s="22">
        <f t="shared" si="25"/>
        <v>0</v>
      </c>
      <c r="T45" s="22">
        <f t="shared" si="25"/>
        <v>0</v>
      </c>
      <c r="U45" s="40">
        <f t="shared" si="25"/>
        <v>0</v>
      </c>
    </row>
    <row r="46" spans="1:21" ht="19.95" customHeight="1" x14ac:dyDescent="0.3">
      <c r="A46" s="55"/>
      <c r="B46" s="28"/>
      <c r="C46" s="24">
        <v>64061</v>
      </c>
      <c r="D46" s="25" t="s">
        <v>78</v>
      </c>
      <c r="E46" s="43"/>
      <c r="F46" s="27"/>
      <c r="G46" s="27"/>
      <c r="H46" s="44"/>
      <c r="I46" s="49">
        <f>H46*Subsector!$S$11</f>
        <v>0</v>
      </c>
      <c r="J46" s="26">
        <f>H46*Subsector!$S$12</f>
        <v>0</v>
      </c>
      <c r="K46" s="26">
        <f>H46*Subsector!$S$13</f>
        <v>0</v>
      </c>
      <c r="L46" s="26">
        <f>H46*Subsector!$S$15</f>
        <v>0</v>
      </c>
      <c r="M46" s="26">
        <f>H46*Subsector!$S$16</f>
        <v>0</v>
      </c>
      <c r="N46" s="66">
        <f>H46*Subsector!$S$17</f>
        <v>0</v>
      </c>
      <c r="O46" s="41">
        <f t="shared" ref="O46:P49" si="26">ROUNDUP(SUM(E46,I46),1)</f>
        <v>0</v>
      </c>
      <c r="P46" s="26">
        <f t="shared" si="26"/>
        <v>0</v>
      </c>
      <c r="Q46" s="26">
        <f>ROUNDUP(SUM(K46),1)</f>
        <v>0</v>
      </c>
      <c r="R46" s="26">
        <f>ROUNDUP(SUM(G46,L46),1)</f>
        <v>0</v>
      </c>
      <c r="S46" s="26">
        <f t="shared" ref="S46:T49" si="27">ROUNDUP(SUM(M46),1)</f>
        <v>0</v>
      </c>
      <c r="T46" s="26">
        <f t="shared" si="27"/>
        <v>0</v>
      </c>
      <c r="U46" s="42">
        <f>SUM(O46:T46)</f>
        <v>0</v>
      </c>
    </row>
    <row r="47" spans="1:21" ht="19.95" customHeight="1" x14ac:dyDescent="0.3">
      <c r="A47" s="55"/>
      <c r="B47" s="28"/>
      <c r="C47" s="24">
        <v>64063</v>
      </c>
      <c r="D47" s="25" t="s">
        <v>79</v>
      </c>
      <c r="E47" s="43"/>
      <c r="F47" s="27"/>
      <c r="G47" s="27"/>
      <c r="H47" s="44"/>
      <c r="I47" s="49">
        <f>H47*Subsector!$S$11</f>
        <v>0</v>
      </c>
      <c r="J47" s="26">
        <f>H47*Subsector!$S$12</f>
        <v>0</v>
      </c>
      <c r="K47" s="26">
        <f>H47*Subsector!$S$13</f>
        <v>0</v>
      </c>
      <c r="L47" s="26">
        <f>H47*Subsector!$S$15</f>
        <v>0</v>
      </c>
      <c r="M47" s="26">
        <f>H47*Subsector!$S$16</f>
        <v>0</v>
      </c>
      <c r="N47" s="66">
        <f>H47*Subsector!$S$17</f>
        <v>0</v>
      </c>
      <c r="O47" s="41">
        <f t="shared" si="26"/>
        <v>0</v>
      </c>
      <c r="P47" s="26">
        <f t="shared" si="26"/>
        <v>0</v>
      </c>
      <c r="Q47" s="26">
        <f>ROUNDUP(SUM(K47),1)</f>
        <v>0</v>
      </c>
      <c r="R47" s="26">
        <f>ROUNDUP(SUM(G47,L47),1)</f>
        <v>0</v>
      </c>
      <c r="S47" s="26">
        <f t="shared" si="27"/>
        <v>0</v>
      </c>
      <c r="T47" s="26">
        <f t="shared" si="27"/>
        <v>0</v>
      </c>
      <c r="U47" s="42">
        <f>SUM(O47:T47)</f>
        <v>0</v>
      </c>
    </row>
    <row r="48" spans="1:21" ht="19.95" customHeight="1" x14ac:dyDescent="0.3">
      <c r="A48" s="55"/>
      <c r="B48" s="24"/>
      <c r="C48" s="24">
        <v>64064</v>
      </c>
      <c r="D48" s="25" t="s">
        <v>80</v>
      </c>
      <c r="E48" s="43"/>
      <c r="F48" s="27">
        <v>0</v>
      </c>
      <c r="G48" s="27"/>
      <c r="H48" s="44">
        <v>0</v>
      </c>
      <c r="I48" s="49">
        <f>H48*Subsector!$S$11</f>
        <v>0</v>
      </c>
      <c r="J48" s="26">
        <f>H48*Subsector!$S$12</f>
        <v>0</v>
      </c>
      <c r="K48" s="26">
        <f>H48*Subsector!$S$13</f>
        <v>0</v>
      </c>
      <c r="L48" s="26">
        <f>H48*Subsector!$S$15</f>
        <v>0</v>
      </c>
      <c r="M48" s="26">
        <f>H48*Subsector!$S$16</f>
        <v>0</v>
      </c>
      <c r="N48" s="66">
        <f>H48*Subsector!$S$17</f>
        <v>0</v>
      </c>
      <c r="O48" s="41">
        <f t="shared" si="26"/>
        <v>0</v>
      </c>
      <c r="P48" s="26">
        <f t="shared" si="26"/>
        <v>0</v>
      </c>
      <c r="Q48" s="26">
        <f>ROUNDUP(SUM(K48),1)</f>
        <v>0</v>
      </c>
      <c r="R48" s="26">
        <f>ROUNDUP(SUM(G48,L48),1)</f>
        <v>0</v>
      </c>
      <c r="S48" s="26">
        <f t="shared" si="27"/>
        <v>0</v>
      </c>
      <c r="T48" s="26">
        <f t="shared" si="27"/>
        <v>0</v>
      </c>
      <c r="U48" s="42">
        <f>SUM(O48:T48)</f>
        <v>0</v>
      </c>
    </row>
    <row r="49" spans="1:21" ht="19.95" customHeight="1" x14ac:dyDescent="0.3">
      <c r="A49" s="55"/>
      <c r="B49" s="24"/>
      <c r="C49" s="24">
        <v>64068</v>
      </c>
      <c r="D49" s="25" t="s">
        <v>81</v>
      </c>
      <c r="E49" s="43"/>
      <c r="F49" s="27">
        <v>0</v>
      </c>
      <c r="G49" s="27"/>
      <c r="H49" s="44">
        <v>0</v>
      </c>
      <c r="I49" s="49">
        <f>H49*Subsector!$S$11</f>
        <v>0</v>
      </c>
      <c r="J49" s="26">
        <f>H49*Subsector!$S$12</f>
        <v>0</v>
      </c>
      <c r="K49" s="26">
        <f>H49*Subsector!$S$13</f>
        <v>0</v>
      </c>
      <c r="L49" s="26">
        <f>H49*Subsector!$S$15</f>
        <v>0</v>
      </c>
      <c r="M49" s="26">
        <f>H49*Subsector!$S$16</f>
        <v>0</v>
      </c>
      <c r="N49" s="66">
        <f>H49*Subsector!$S$17</f>
        <v>0</v>
      </c>
      <c r="O49" s="41">
        <f t="shared" si="26"/>
        <v>0</v>
      </c>
      <c r="P49" s="26">
        <f t="shared" si="26"/>
        <v>0</v>
      </c>
      <c r="Q49" s="26">
        <f>ROUNDUP(SUM(K49),1)</f>
        <v>0</v>
      </c>
      <c r="R49" s="26">
        <f>ROUNDUP(SUM(G49,L49),1)</f>
        <v>0</v>
      </c>
      <c r="S49" s="26">
        <f t="shared" si="27"/>
        <v>0</v>
      </c>
      <c r="T49" s="26">
        <f t="shared" si="27"/>
        <v>0</v>
      </c>
      <c r="U49" s="42">
        <f>SUM(O49:T49)</f>
        <v>0</v>
      </c>
    </row>
    <row r="50" spans="1:21" ht="19.95" customHeight="1" x14ac:dyDescent="0.3">
      <c r="A50" s="51"/>
      <c r="B50" s="28">
        <v>6407</v>
      </c>
      <c r="C50" s="28"/>
      <c r="D50" s="29" t="s">
        <v>82</v>
      </c>
      <c r="E50" s="39">
        <f>SUM(E51:E58)</f>
        <v>0</v>
      </c>
      <c r="F50" s="22">
        <f t="shared" ref="F50:U50" si="28">SUM(F51:F58)</f>
        <v>0</v>
      </c>
      <c r="G50" s="22">
        <f t="shared" si="28"/>
        <v>0</v>
      </c>
      <c r="H50" s="40">
        <f t="shared" si="28"/>
        <v>0</v>
      </c>
      <c r="I50" s="36">
        <f t="shared" si="28"/>
        <v>0</v>
      </c>
      <c r="J50" s="22">
        <f t="shared" si="28"/>
        <v>0</v>
      </c>
      <c r="K50" s="22">
        <f t="shared" si="28"/>
        <v>0</v>
      </c>
      <c r="L50" s="22">
        <f t="shared" si="28"/>
        <v>0</v>
      </c>
      <c r="M50" s="22">
        <f t="shared" si="28"/>
        <v>0</v>
      </c>
      <c r="N50" s="65">
        <f t="shared" si="28"/>
        <v>0</v>
      </c>
      <c r="O50" s="39">
        <f t="shared" si="28"/>
        <v>0</v>
      </c>
      <c r="P50" s="22">
        <f t="shared" si="28"/>
        <v>0</v>
      </c>
      <c r="Q50" s="22">
        <f t="shared" si="28"/>
        <v>0</v>
      </c>
      <c r="R50" s="22">
        <f t="shared" si="28"/>
        <v>0</v>
      </c>
      <c r="S50" s="22">
        <f t="shared" si="28"/>
        <v>0</v>
      </c>
      <c r="T50" s="22">
        <f t="shared" si="28"/>
        <v>0</v>
      </c>
      <c r="U50" s="40">
        <f t="shared" si="28"/>
        <v>0</v>
      </c>
    </row>
    <row r="51" spans="1:21" ht="19.95" customHeight="1" x14ac:dyDescent="0.3">
      <c r="A51" s="52"/>
      <c r="B51" s="28"/>
      <c r="C51" s="30">
        <v>64071</v>
      </c>
      <c r="D51" s="31" t="s">
        <v>83</v>
      </c>
      <c r="E51" s="43"/>
      <c r="F51" s="27">
        <v>0</v>
      </c>
      <c r="G51" s="27"/>
      <c r="H51" s="44">
        <v>0</v>
      </c>
      <c r="I51" s="49">
        <f>H51*Subsector!$S$11</f>
        <v>0</v>
      </c>
      <c r="J51" s="26">
        <f>H51*Subsector!$S$12</f>
        <v>0</v>
      </c>
      <c r="K51" s="26">
        <f>H51*Subsector!$S$13</f>
        <v>0</v>
      </c>
      <c r="L51" s="26">
        <f>H51*Subsector!$S$15</f>
        <v>0</v>
      </c>
      <c r="M51" s="26">
        <f>H51*Subsector!$S$16</f>
        <v>0</v>
      </c>
      <c r="N51" s="66">
        <f>H51*Subsector!$S$17</f>
        <v>0</v>
      </c>
      <c r="O51" s="41">
        <f t="shared" ref="O51:P58" si="29">ROUNDUP(SUM(E51,I51),1)</f>
        <v>0</v>
      </c>
      <c r="P51" s="26">
        <f t="shared" si="29"/>
        <v>0</v>
      </c>
      <c r="Q51" s="26">
        <f t="shared" ref="Q51:Q58" si="30">ROUNDUP(SUM(K51),1)</f>
        <v>0</v>
      </c>
      <c r="R51" s="26">
        <f t="shared" ref="R51:R58" si="31">ROUNDUP(SUM(G51,L51),1)</f>
        <v>0</v>
      </c>
      <c r="S51" s="26">
        <f t="shared" ref="S51:T58" si="32">ROUNDUP(SUM(M51),1)</f>
        <v>0</v>
      </c>
      <c r="T51" s="26">
        <f t="shared" si="32"/>
        <v>0</v>
      </c>
      <c r="U51" s="42">
        <f t="shared" ref="U51:U58" si="33">SUM(O51:T51)</f>
        <v>0</v>
      </c>
    </row>
    <row r="52" spans="1:21" ht="19.95" customHeight="1" x14ac:dyDescent="0.3">
      <c r="A52" s="52"/>
      <c r="B52" s="28"/>
      <c r="C52" s="30">
        <v>64072</v>
      </c>
      <c r="D52" s="31" t="s">
        <v>84</v>
      </c>
      <c r="E52" s="43"/>
      <c r="F52" s="27">
        <v>0</v>
      </c>
      <c r="G52" s="27"/>
      <c r="H52" s="44">
        <v>0</v>
      </c>
      <c r="I52" s="49">
        <f>H52*Subsector!$S$11</f>
        <v>0</v>
      </c>
      <c r="J52" s="26">
        <f>H52*Subsector!$S$12</f>
        <v>0</v>
      </c>
      <c r="K52" s="26">
        <f>H52*Subsector!$S$13</f>
        <v>0</v>
      </c>
      <c r="L52" s="26">
        <f>H52*Subsector!$S$15</f>
        <v>0</v>
      </c>
      <c r="M52" s="26">
        <f>H52*Subsector!$S$16</f>
        <v>0</v>
      </c>
      <c r="N52" s="66">
        <f>H52*Subsector!$S$17</f>
        <v>0</v>
      </c>
      <c r="O52" s="41">
        <f t="shared" si="29"/>
        <v>0</v>
      </c>
      <c r="P52" s="26">
        <f t="shared" si="29"/>
        <v>0</v>
      </c>
      <c r="Q52" s="26">
        <f t="shared" si="30"/>
        <v>0</v>
      </c>
      <c r="R52" s="26">
        <f t="shared" si="31"/>
        <v>0</v>
      </c>
      <c r="S52" s="26">
        <f t="shared" si="32"/>
        <v>0</v>
      </c>
      <c r="T52" s="26">
        <f t="shared" si="32"/>
        <v>0</v>
      </c>
      <c r="U52" s="42">
        <f t="shared" si="33"/>
        <v>0</v>
      </c>
    </row>
    <row r="53" spans="1:21" ht="19.95" customHeight="1" x14ac:dyDescent="0.3">
      <c r="A53" s="52"/>
      <c r="B53" s="28"/>
      <c r="C53" s="30">
        <v>64073</v>
      </c>
      <c r="D53" s="31" t="s">
        <v>85</v>
      </c>
      <c r="E53" s="43"/>
      <c r="F53" s="27">
        <v>0</v>
      </c>
      <c r="G53" s="27"/>
      <c r="H53" s="44">
        <v>0</v>
      </c>
      <c r="I53" s="49">
        <f>H53*Subsector!$S$11</f>
        <v>0</v>
      </c>
      <c r="J53" s="26">
        <f>H53*Subsector!$S$12</f>
        <v>0</v>
      </c>
      <c r="K53" s="26">
        <f>H53*Subsector!$S$13</f>
        <v>0</v>
      </c>
      <c r="L53" s="26">
        <f>H53*Subsector!$S$15</f>
        <v>0</v>
      </c>
      <c r="M53" s="26">
        <f>H53*Subsector!$S$16</f>
        <v>0</v>
      </c>
      <c r="N53" s="66">
        <f>H53*Subsector!$S$17</f>
        <v>0</v>
      </c>
      <c r="O53" s="41">
        <f t="shared" si="29"/>
        <v>0</v>
      </c>
      <c r="P53" s="26">
        <f t="shared" si="29"/>
        <v>0</v>
      </c>
      <c r="Q53" s="26">
        <f t="shared" si="30"/>
        <v>0</v>
      </c>
      <c r="R53" s="26">
        <f t="shared" si="31"/>
        <v>0</v>
      </c>
      <c r="S53" s="26">
        <f t="shared" si="32"/>
        <v>0</v>
      </c>
      <c r="T53" s="26">
        <f t="shared" si="32"/>
        <v>0</v>
      </c>
      <c r="U53" s="42">
        <f t="shared" si="33"/>
        <v>0</v>
      </c>
    </row>
    <row r="54" spans="1:21" ht="19.95" customHeight="1" x14ac:dyDescent="0.3">
      <c r="A54" s="52"/>
      <c r="B54" s="24"/>
      <c r="C54" s="30">
        <v>64074</v>
      </c>
      <c r="D54" s="25" t="s">
        <v>86</v>
      </c>
      <c r="E54" s="43"/>
      <c r="F54" s="27">
        <v>0</v>
      </c>
      <c r="G54" s="27"/>
      <c r="H54" s="44">
        <v>0</v>
      </c>
      <c r="I54" s="49">
        <f>H54*Subsector!$S$11</f>
        <v>0</v>
      </c>
      <c r="J54" s="26">
        <f>H54*Subsector!$S$12</f>
        <v>0</v>
      </c>
      <c r="K54" s="26">
        <f>H54*Subsector!$S$13</f>
        <v>0</v>
      </c>
      <c r="L54" s="26">
        <f>H54*Subsector!$S$15</f>
        <v>0</v>
      </c>
      <c r="M54" s="26">
        <f>H54*Subsector!$S$16</f>
        <v>0</v>
      </c>
      <c r="N54" s="66">
        <f>H54*Subsector!$S$17</f>
        <v>0</v>
      </c>
      <c r="O54" s="41">
        <f t="shared" si="29"/>
        <v>0</v>
      </c>
      <c r="P54" s="26">
        <f t="shared" si="29"/>
        <v>0</v>
      </c>
      <c r="Q54" s="26">
        <f t="shared" si="30"/>
        <v>0</v>
      </c>
      <c r="R54" s="26">
        <f t="shared" si="31"/>
        <v>0</v>
      </c>
      <c r="S54" s="26">
        <f t="shared" si="32"/>
        <v>0</v>
      </c>
      <c r="T54" s="26">
        <f t="shared" si="32"/>
        <v>0</v>
      </c>
      <c r="U54" s="42">
        <f t="shared" si="33"/>
        <v>0</v>
      </c>
    </row>
    <row r="55" spans="1:21" ht="19.95" customHeight="1" x14ac:dyDescent="0.3">
      <c r="A55" s="52"/>
      <c r="B55" s="28"/>
      <c r="C55" s="30">
        <v>64075</v>
      </c>
      <c r="D55" s="31" t="s">
        <v>48</v>
      </c>
      <c r="E55" s="43"/>
      <c r="F55" s="27">
        <v>0</v>
      </c>
      <c r="G55" s="27"/>
      <c r="H55" s="44">
        <v>0</v>
      </c>
      <c r="I55" s="49">
        <f>H55*Subsector!$S$11</f>
        <v>0</v>
      </c>
      <c r="J55" s="26">
        <f>H55*Subsector!$S$12</f>
        <v>0</v>
      </c>
      <c r="K55" s="26">
        <f>H55*Subsector!$S$13</f>
        <v>0</v>
      </c>
      <c r="L55" s="26">
        <f>H55*Subsector!$S$15</f>
        <v>0</v>
      </c>
      <c r="M55" s="26">
        <f>H55*Subsector!$S$16</f>
        <v>0</v>
      </c>
      <c r="N55" s="66">
        <f>H55*Subsector!$S$17</f>
        <v>0</v>
      </c>
      <c r="O55" s="41">
        <f t="shared" si="29"/>
        <v>0</v>
      </c>
      <c r="P55" s="26">
        <f t="shared" si="29"/>
        <v>0</v>
      </c>
      <c r="Q55" s="26">
        <f t="shared" si="30"/>
        <v>0</v>
      </c>
      <c r="R55" s="26">
        <f t="shared" si="31"/>
        <v>0</v>
      </c>
      <c r="S55" s="26">
        <f t="shared" si="32"/>
        <v>0</v>
      </c>
      <c r="T55" s="26">
        <f t="shared" si="32"/>
        <v>0</v>
      </c>
      <c r="U55" s="42">
        <f t="shared" si="33"/>
        <v>0</v>
      </c>
    </row>
    <row r="56" spans="1:21" ht="19.95" customHeight="1" x14ac:dyDescent="0.3">
      <c r="A56" s="52"/>
      <c r="B56" s="28"/>
      <c r="C56" s="30">
        <v>64076</v>
      </c>
      <c r="D56" s="31" t="s">
        <v>49</v>
      </c>
      <c r="E56" s="43"/>
      <c r="F56" s="27">
        <v>0</v>
      </c>
      <c r="G56" s="27"/>
      <c r="H56" s="44">
        <v>0</v>
      </c>
      <c r="I56" s="49">
        <f>H56*Subsector!$S$11</f>
        <v>0</v>
      </c>
      <c r="J56" s="26">
        <f>H56*Subsector!$S$12</f>
        <v>0</v>
      </c>
      <c r="K56" s="26">
        <f>H56*Subsector!$S$13</f>
        <v>0</v>
      </c>
      <c r="L56" s="26">
        <f>H56*Subsector!$S$15</f>
        <v>0</v>
      </c>
      <c r="M56" s="26">
        <f>H56*Subsector!$S$16</f>
        <v>0</v>
      </c>
      <c r="N56" s="66">
        <f>H56*Subsector!$S$17</f>
        <v>0</v>
      </c>
      <c r="O56" s="41">
        <f t="shared" si="29"/>
        <v>0</v>
      </c>
      <c r="P56" s="26">
        <f t="shared" si="29"/>
        <v>0</v>
      </c>
      <c r="Q56" s="26">
        <f t="shared" si="30"/>
        <v>0</v>
      </c>
      <c r="R56" s="26">
        <f t="shared" si="31"/>
        <v>0</v>
      </c>
      <c r="S56" s="26">
        <f t="shared" si="32"/>
        <v>0</v>
      </c>
      <c r="T56" s="26">
        <f t="shared" si="32"/>
        <v>0</v>
      </c>
      <c r="U56" s="42">
        <f t="shared" si="33"/>
        <v>0</v>
      </c>
    </row>
    <row r="57" spans="1:21" ht="19.95" customHeight="1" x14ac:dyDescent="0.3">
      <c r="A57" s="52"/>
      <c r="B57" s="28"/>
      <c r="C57" s="30">
        <v>64077</v>
      </c>
      <c r="D57" s="31" t="s">
        <v>50</v>
      </c>
      <c r="E57" s="43"/>
      <c r="F57" s="27">
        <v>0</v>
      </c>
      <c r="G57" s="27"/>
      <c r="H57" s="44">
        <v>0</v>
      </c>
      <c r="I57" s="49">
        <f>H57*Subsector!$S$11</f>
        <v>0</v>
      </c>
      <c r="J57" s="26">
        <f>H57*Subsector!$S$12</f>
        <v>0</v>
      </c>
      <c r="K57" s="26">
        <f>H57*Subsector!$S$13</f>
        <v>0</v>
      </c>
      <c r="L57" s="26">
        <f>H57*Subsector!$S$15</f>
        <v>0</v>
      </c>
      <c r="M57" s="26">
        <f>H57*Subsector!$S$16</f>
        <v>0</v>
      </c>
      <c r="N57" s="66">
        <f>H57*Subsector!$S$17</f>
        <v>0</v>
      </c>
      <c r="O57" s="41">
        <f t="shared" si="29"/>
        <v>0</v>
      </c>
      <c r="P57" s="26">
        <f t="shared" si="29"/>
        <v>0</v>
      </c>
      <c r="Q57" s="26">
        <f t="shared" si="30"/>
        <v>0</v>
      </c>
      <c r="R57" s="26">
        <f t="shared" si="31"/>
        <v>0</v>
      </c>
      <c r="S57" s="26">
        <f t="shared" si="32"/>
        <v>0</v>
      </c>
      <c r="T57" s="26">
        <f t="shared" si="32"/>
        <v>0</v>
      </c>
      <c r="U57" s="42">
        <f t="shared" si="33"/>
        <v>0</v>
      </c>
    </row>
    <row r="58" spans="1:21" ht="19.95" customHeight="1" x14ac:dyDescent="0.3">
      <c r="A58" s="52"/>
      <c r="B58" s="28"/>
      <c r="C58" s="30">
        <v>64078</v>
      </c>
      <c r="D58" s="31" t="s">
        <v>87</v>
      </c>
      <c r="E58" s="43"/>
      <c r="F58" s="27">
        <v>0</v>
      </c>
      <c r="G58" s="27"/>
      <c r="H58" s="44">
        <v>0</v>
      </c>
      <c r="I58" s="49">
        <f>H58*Subsector!$S$11</f>
        <v>0</v>
      </c>
      <c r="J58" s="26">
        <f>H58*Subsector!$S$12</f>
        <v>0</v>
      </c>
      <c r="K58" s="26">
        <f>H58*Subsector!$S$13</f>
        <v>0</v>
      </c>
      <c r="L58" s="26">
        <f>H58*Subsector!$S$15</f>
        <v>0</v>
      </c>
      <c r="M58" s="26">
        <f>H58*Subsector!$S$16</f>
        <v>0</v>
      </c>
      <c r="N58" s="66">
        <f>H58*Subsector!$S$17</f>
        <v>0</v>
      </c>
      <c r="O58" s="41">
        <f t="shared" si="29"/>
        <v>0</v>
      </c>
      <c r="P58" s="26">
        <f t="shared" si="29"/>
        <v>0</v>
      </c>
      <c r="Q58" s="26">
        <f t="shared" si="30"/>
        <v>0</v>
      </c>
      <c r="R58" s="26">
        <f t="shared" si="31"/>
        <v>0</v>
      </c>
      <c r="S58" s="26">
        <f t="shared" si="32"/>
        <v>0</v>
      </c>
      <c r="T58" s="26">
        <f t="shared" si="32"/>
        <v>0</v>
      </c>
      <c r="U58" s="42">
        <f t="shared" si="33"/>
        <v>0</v>
      </c>
    </row>
    <row r="59" spans="1:21" ht="19.95" customHeight="1" x14ac:dyDescent="0.3">
      <c r="A59" s="51"/>
      <c r="B59" s="28">
        <v>6498</v>
      </c>
      <c r="C59" s="28"/>
      <c r="D59" s="29" t="s">
        <v>88</v>
      </c>
      <c r="E59" s="39">
        <f>SUM(E60)</f>
        <v>0</v>
      </c>
      <c r="F59" s="22">
        <f t="shared" ref="F59:U59" si="34">SUM(F60)</f>
        <v>0</v>
      </c>
      <c r="G59" s="22">
        <f>SUM(G60)</f>
        <v>0</v>
      </c>
      <c r="H59" s="40">
        <f t="shared" si="34"/>
        <v>0</v>
      </c>
      <c r="I59" s="36">
        <f t="shared" si="34"/>
        <v>0</v>
      </c>
      <c r="J59" s="22">
        <f t="shared" si="34"/>
        <v>0</v>
      </c>
      <c r="K59" s="22">
        <f t="shared" si="34"/>
        <v>0</v>
      </c>
      <c r="L59" s="22">
        <f t="shared" si="34"/>
        <v>0</v>
      </c>
      <c r="M59" s="22">
        <f t="shared" si="34"/>
        <v>0</v>
      </c>
      <c r="N59" s="65">
        <f t="shared" si="34"/>
        <v>0</v>
      </c>
      <c r="O59" s="39">
        <f t="shared" si="34"/>
        <v>0</v>
      </c>
      <c r="P59" s="22">
        <f t="shared" si="34"/>
        <v>0</v>
      </c>
      <c r="Q59" s="22">
        <f t="shared" si="34"/>
        <v>0</v>
      </c>
      <c r="R59" s="22">
        <f t="shared" si="34"/>
        <v>0</v>
      </c>
      <c r="S59" s="22">
        <f t="shared" si="34"/>
        <v>0</v>
      </c>
      <c r="T59" s="22">
        <f t="shared" si="34"/>
        <v>0</v>
      </c>
      <c r="U59" s="40">
        <f t="shared" si="34"/>
        <v>0</v>
      </c>
    </row>
    <row r="60" spans="1:21" ht="19.95" customHeight="1" thickBot="1" x14ac:dyDescent="0.35">
      <c r="A60" s="56"/>
      <c r="B60" s="57"/>
      <c r="C60" s="58">
        <v>64981</v>
      </c>
      <c r="D60" s="59" t="s">
        <v>88</v>
      </c>
      <c r="E60" s="68"/>
      <c r="F60" s="69"/>
      <c r="G60" s="69"/>
      <c r="H60" s="70"/>
      <c r="I60" s="63">
        <f>H60*Subsector!$S$11</f>
        <v>0</v>
      </c>
      <c r="J60" s="61">
        <f>H60*Subsector!$S$12</f>
        <v>0</v>
      </c>
      <c r="K60" s="61">
        <f>H60*Subsector!$S$13</f>
        <v>0</v>
      </c>
      <c r="L60" s="61">
        <f>H60*Subsector!$S$15</f>
        <v>0</v>
      </c>
      <c r="M60" s="61">
        <f>H60*Subsector!$S$16</f>
        <v>0</v>
      </c>
      <c r="N60" s="67">
        <f>H60*Subsector!$S$17</f>
        <v>0</v>
      </c>
      <c r="O60" s="60">
        <f>ROUNDUP(SUM(E60,I60),1)</f>
        <v>0</v>
      </c>
      <c r="P60" s="61">
        <f>ROUNDUP(SUM(F60,J60),1)</f>
        <v>0</v>
      </c>
      <c r="Q60" s="61">
        <f>ROUNDUP(SUM(K60),1)</f>
        <v>0</v>
      </c>
      <c r="R60" s="61">
        <f>ROUNDUP(SUM(G60,L60),1)</f>
        <v>0</v>
      </c>
      <c r="S60" s="61">
        <f>ROUNDUP(SUM(M60),1)</f>
        <v>0</v>
      </c>
      <c r="T60" s="61">
        <f>ROUNDUP(SUM(N60),1)</f>
        <v>0</v>
      </c>
      <c r="U60" s="62">
        <f>SUM(O60:T60)</f>
        <v>0</v>
      </c>
    </row>
  </sheetData>
  <sheetProtection algorithmName="SHA-512" hashValue="NclgC9W8wQSj5HcBW5Qqst5GLte6AC67D7TdBLVos0ZMCwcan4baW5+v+DUJuIj4xR8F1eNDu2kd7DVq8cvJzA==" saltValue="hgBC+K/HIIGK2ULm3P/5RQ==" spinCount="100000" sheet="1" formatCells="0" formatColumns="0" formatRows="0" sort="0" autoFilter="0" pivotTables="0"/>
  <mergeCells count="8">
    <mergeCell ref="A3:U3"/>
    <mergeCell ref="A5:A7"/>
    <mergeCell ref="B5:B7"/>
    <mergeCell ref="C5:C7"/>
    <mergeCell ref="D5:D7"/>
    <mergeCell ref="E5:H5"/>
    <mergeCell ref="I5:N6"/>
    <mergeCell ref="O5:U6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18EDD-ED0F-4497-B9E7-C9AE8579C369}">
  <sheetPr codeName="Sheet11"/>
  <dimension ref="A1:U60"/>
  <sheetViews>
    <sheetView zoomScale="70" zoomScaleNormal="70" workbookViewId="0">
      <selection activeCell="A4" sqref="A4"/>
    </sheetView>
  </sheetViews>
  <sheetFormatPr defaultRowHeight="14.4" x14ac:dyDescent="0.3"/>
  <cols>
    <col min="1" max="1" width="6" customWidth="1"/>
    <col min="2" max="2" width="6.5546875" customWidth="1"/>
    <col min="3" max="3" width="9.44140625" customWidth="1"/>
    <col min="4" max="4" width="48.77734375" customWidth="1"/>
    <col min="5" max="9" width="8.21875" customWidth="1"/>
    <col min="10" max="21" width="8.77734375" customWidth="1"/>
  </cols>
  <sheetData>
    <row r="1" spans="1:21" ht="21.45" customHeight="1" x14ac:dyDescent="0.3"/>
    <row r="2" spans="1:21" ht="21.45" customHeight="1" x14ac:dyDescent="0.3"/>
    <row r="3" spans="1:21" ht="36.450000000000003" customHeight="1" x14ac:dyDescent="0.3">
      <c r="A3" s="108" t="s">
        <v>98</v>
      </c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</row>
    <row r="4" spans="1:21" ht="21.45" customHeight="1" thickBot="1" x14ac:dyDescent="0.35"/>
    <row r="5" spans="1:21" ht="43.5" customHeight="1" x14ac:dyDescent="0.3">
      <c r="A5" s="123" t="s">
        <v>39</v>
      </c>
      <c r="B5" s="121" t="s">
        <v>40</v>
      </c>
      <c r="C5" s="121" t="s">
        <v>41</v>
      </c>
      <c r="D5" s="119" t="s">
        <v>42</v>
      </c>
      <c r="E5" s="125" t="s">
        <v>99</v>
      </c>
      <c r="F5" s="126"/>
      <c r="G5" s="126"/>
      <c r="H5" s="127"/>
      <c r="I5" s="140" t="s">
        <v>94</v>
      </c>
      <c r="J5" s="141"/>
      <c r="K5" s="141"/>
      <c r="L5" s="141"/>
      <c r="M5" s="141"/>
      <c r="N5" s="142"/>
      <c r="O5" s="134" t="s">
        <v>95</v>
      </c>
      <c r="P5" s="135"/>
      <c r="Q5" s="135"/>
      <c r="R5" s="135"/>
      <c r="S5" s="135"/>
      <c r="T5" s="135"/>
      <c r="U5" s="136"/>
    </row>
    <row r="6" spans="1:21" ht="43.05" customHeight="1" x14ac:dyDescent="0.8">
      <c r="A6" s="124"/>
      <c r="B6" s="122"/>
      <c r="C6" s="122"/>
      <c r="D6" s="120"/>
      <c r="E6" s="45"/>
      <c r="F6" s="46"/>
      <c r="G6" s="46"/>
      <c r="H6" s="47"/>
      <c r="I6" s="143"/>
      <c r="J6" s="144"/>
      <c r="K6" s="144"/>
      <c r="L6" s="144"/>
      <c r="M6" s="144"/>
      <c r="N6" s="145"/>
      <c r="O6" s="137"/>
      <c r="P6" s="138"/>
      <c r="Q6" s="138"/>
      <c r="R6" s="138"/>
      <c r="S6" s="138"/>
      <c r="T6" s="138"/>
      <c r="U6" s="139"/>
    </row>
    <row r="7" spans="1:21" ht="132.44999999999999" customHeight="1" x14ac:dyDescent="0.3">
      <c r="A7" s="124"/>
      <c r="B7" s="122"/>
      <c r="C7" s="122"/>
      <c r="D7" s="120"/>
      <c r="E7" s="78" t="s">
        <v>25</v>
      </c>
      <c r="F7" s="74" t="s">
        <v>26</v>
      </c>
      <c r="G7" s="74" t="s">
        <v>29</v>
      </c>
      <c r="H7" s="79" t="s">
        <v>91</v>
      </c>
      <c r="I7" s="77" t="s">
        <v>25</v>
      </c>
      <c r="J7" s="75" t="s">
        <v>26</v>
      </c>
      <c r="K7" s="75" t="s">
        <v>27</v>
      </c>
      <c r="L7" s="75" t="s">
        <v>29</v>
      </c>
      <c r="M7" s="75" t="s">
        <v>30</v>
      </c>
      <c r="N7" s="80" t="s">
        <v>31</v>
      </c>
      <c r="O7" s="81" t="s">
        <v>25</v>
      </c>
      <c r="P7" s="76" t="s">
        <v>26</v>
      </c>
      <c r="Q7" s="76" t="s">
        <v>27</v>
      </c>
      <c r="R7" s="76" t="s">
        <v>29</v>
      </c>
      <c r="S7" s="76" t="s">
        <v>30</v>
      </c>
      <c r="T7" s="76" t="s">
        <v>31</v>
      </c>
      <c r="U7" s="82" t="s">
        <v>12</v>
      </c>
    </row>
    <row r="8" spans="1:21" ht="19.95" customHeight="1" x14ac:dyDescent="0.3">
      <c r="A8" s="50">
        <v>64</v>
      </c>
      <c r="B8" s="32"/>
      <c r="C8" s="32"/>
      <c r="D8" s="33" t="s">
        <v>43</v>
      </c>
      <c r="E8" s="37">
        <f>SUM(E9,E18,E27,E33,E37,E45,E50,E59)</f>
        <v>0</v>
      </c>
      <c r="F8" s="34">
        <f t="shared" ref="F8:U8" si="0">SUM(F9,F18,F27,F33,F37,F45,F50,F59)</f>
        <v>0</v>
      </c>
      <c r="G8" s="34">
        <f t="shared" si="0"/>
        <v>0</v>
      </c>
      <c r="H8" s="38">
        <f t="shared" si="0"/>
        <v>0</v>
      </c>
      <c r="I8" s="35">
        <f t="shared" si="0"/>
        <v>0</v>
      </c>
      <c r="J8" s="34">
        <f t="shared" si="0"/>
        <v>0</v>
      </c>
      <c r="K8" s="34">
        <f t="shared" si="0"/>
        <v>0</v>
      </c>
      <c r="L8" s="34">
        <f t="shared" si="0"/>
        <v>0</v>
      </c>
      <c r="M8" s="34">
        <f t="shared" si="0"/>
        <v>0</v>
      </c>
      <c r="N8" s="64">
        <f t="shared" si="0"/>
        <v>0</v>
      </c>
      <c r="O8" s="37">
        <f t="shared" si="0"/>
        <v>0</v>
      </c>
      <c r="P8" s="34">
        <f t="shared" si="0"/>
        <v>0</v>
      </c>
      <c r="Q8" s="34">
        <f t="shared" si="0"/>
        <v>0</v>
      </c>
      <c r="R8" s="34">
        <f t="shared" si="0"/>
        <v>0</v>
      </c>
      <c r="S8" s="34">
        <f t="shared" si="0"/>
        <v>0</v>
      </c>
      <c r="T8" s="34">
        <f t="shared" si="0"/>
        <v>0</v>
      </c>
      <c r="U8" s="38">
        <f t="shared" si="0"/>
        <v>0</v>
      </c>
    </row>
    <row r="9" spans="1:21" ht="19.95" customHeight="1" x14ac:dyDescent="0.3">
      <c r="A9" s="51"/>
      <c r="B9" s="23">
        <v>6401</v>
      </c>
      <c r="C9" s="23"/>
      <c r="D9" s="21" t="s">
        <v>90</v>
      </c>
      <c r="E9" s="39">
        <f>SUM(E10:E17)</f>
        <v>0</v>
      </c>
      <c r="F9" s="22">
        <f>SUM(F10:F17)</f>
        <v>0</v>
      </c>
      <c r="G9" s="22">
        <f t="shared" ref="G9:U9" si="1">SUM(G10:G17)</f>
        <v>0</v>
      </c>
      <c r="H9" s="40">
        <f t="shared" si="1"/>
        <v>0</v>
      </c>
      <c r="I9" s="36">
        <f t="shared" si="1"/>
        <v>0</v>
      </c>
      <c r="J9" s="22">
        <f t="shared" si="1"/>
        <v>0</v>
      </c>
      <c r="K9" s="22">
        <f t="shared" si="1"/>
        <v>0</v>
      </c>
      <c r="L9" s="22">
        <f t="shared" si="1"/>
        <v>0</v>
      </c>
      <c r="M9" s="22">
        <f t="shared" si="1"/>
        <v>0</v>
      </c>
      <c r="N9" s="65">
        <f t="shared" si="1"/>
        <v>0</v>
      </c>
      <c r="O9" s="39">
        <f>SUM(O10:O17)</f>
        <v>0</v>
      </c>
      <c r="P9" s="22">
        <f t="shared" si="1"/>
        <v>0</v>
      </c>
      <c r="Q9" s="22">
        <f t="shared" si="1"/>
        <v>0</v>
      </c>
      <c r="R9" s="22">
        <f t="shared" si="1"/>
        <v>0</v>
      </c>
      <c r="S9" s="22">
        <f t="shared" si="1"/>
        <v>0</v>
      </c>
      <c r="T9" s="22">
        <f t="shared" si="1"/>
        <v>0</v>
      </c>
      <c r="U9" s="40">
        <f t="shared" si="1"/>
        <v>0</v>
      </c>
    </row>
    <row r="10" spans="1:21" ht="19.95" customHeight="1" x14ac:dyDescent="0.3">
      <c r="A10" s="52"/>
      <c r="B10" s="24"/>
      <c r="C10" s="24">
        <v>64011</v>
      </c>
      <c r="D10" s="25" t="s">
        <v>44</v>
      </c>
      <c r="E10" s="43"/>
      <c r="F10" s="27"/>
      <c r="G10" s="27"/>
      <c r="H10" s="44"/>
      <c r="I10" s="49">
        <f>H10*Subsector!$S$11</f>
        <v>0</v>
      </c>
      <c r="J10" s="26">
        <f>H10*Subsector!$S$12</f>
        <v>0</v>
      </c>
      <c r="K10" s="26">
        <f>H10*Subsector!$S$13</f>
        <v>0</v>
      </c>
      <c r="L10" s="26">
        <f>H10*Subsector!$S$15</f>
        <v>0</v>
      </c>
      <c r="M10" s="26">
        <f>H10*Subsector!$S$16</f>
        <v>0</v>
      </c>
      <c r="N10" s="66">
        <f>H10*Subsector!$S$17</f>
        <v>0</v>
      </c>
      <c r="O10" s="41">
        <f t="shared" ref="O10:P17" si="2">ROUNDUP(SUM(E10,I10),1)</f>
        <v>0</v>
      </c>
      <c r="P10" s="26">
        <f t="shared" si="2"/>
        <v>0</v>
      </c>
      <c r="Q10" s="26">
        <f t="shared" ref="Q10:Q17" si="3">ROUNDUP(SUM(K10),1)</f>
        <v>0</v>
      </c>
      <c r="R10" s="26">
        <f t="shared" ref="R10:R17" si="4">ROUNDUP(SUM(G10,L10),1)</f>
        <v>0</v>
      </c>
      <c r="S10" s="26">
        <f t="shared" ref="S10:T17" si="5">ROUNDUP(SUM(M10),1)</f>
        <v>0</v>
      </c>
      <c r="T10" s="26">
        <f t="shared" si="5"/>
        <v>0</v>
      </c>
      <c r="U10" s="42">
        <f t="shared" ref="U10:U17" si="6">SUM(O10:T10)</f>
        <v>0</v>
      </c>
    </row>
    <row r="11" spans="1:21" ht="19.95" customHeight="1" x14ac:dyDescent="0.3">
      <c r="A11" s="52"/>
      <c r="B11" s="24"/>
      <c r="C11" s="24">
        <v>64012</v>
      </c>
      <c r="D11" s="25" t="s">
        <v>89</v>
      </c>
      <c r="E11" s="43"/>
      <c r="F11" s="27"/>
      <c r="G11" s="27"/>
      <c r="H11" s="44"/>
      <c r="I11" s="49">
        <f>H11*Subsector!$S$11</f>
        <v>0</v>
      </c>
      <c r="J11" s="26">
        <f>H11*Subsector!$S$12</f>
        <v>0</v>
      </c>
      <c r="K11" s="26">
        <f>H11*Subsector!$S$13</f>
        <v>0</v>
      </c>
      <c r="L11" s="26">
        <f>H11*Subsector!$S$15</f>
        <v>0</v>
      </c>
      <c r="M11" s="26">
        <f>H11*Subsector!$S$16</f>
        <v>0</v>
      </c>
      <c r="N11" s="66">
        <f>H11*Subsector!$S$17</f>
        <v>0</v>
      </c>
      <c r="O11" s="41">
        <f t="shared" si="2"/>
        <v>0</v>
      </c>
      <c r="P11" s="26">
        <f t="shared" si="2"/>
        <v>0</v>
      </c>
      <c r="Q11" s="26">
        <f t="shared" si="3"/>
        <v>0</v>
      </c>
      <c r="R11" s="26">
        <f t="shared" si="4"/>
        <v>0</v>
      </c>
      <c r="S11" s="26">
        <f t="shared" si="5"/>
        <v>0</v>
      </c>
      <c r="T11" s="26">
        <f t="shared" si="5"/>
        <v>0</v>
      </c>
      <c r="U11" s="42">
        <f t="shared" si="6"/>
        <v>0</v>
      </c>
    </row>
    <row r="12" spans="1:21" ht="19.95" customHeight="1" x14ac:dyDescent="0.3">
      <c r="A12" s="52"/>
      <c r="B12" s="24"/>
      <c r="C12" s="24">
        <v>64013</v>
      </c>
      <c r="D12" s="25" t="s">
        <v>45</v>
      </c>
      <c r="E12" s="43"/>
      <c r="F12" s="27"/>
      <c r="G12" s="27"/>
      <c r="H12" s="44"/>
      <c r="I12" s="49">
        <f>H12*Subsector!$S$11</f>
        <v>0</v>
      </c>
      <c r="J12" s="26">
        <f>H12*Subsector!$S$12</f>
        <v>0</v>
      </c>
      <c r="K12" s="26">
        <f>H12*Subsector!$S$13</f>
        <v>0</v>
      </c>
      <c r="L12" s="26">
        <f>H12*Subsector!$S$15</f>
        <v>0</v>
      </c>
      <c r="M12" s="26">
        <f>H12*Subsector!$S$16</f>
        <v>0</v>
      </c>
      <c r="N12" s="66">
        <f>H12*Subsector!$S$17</f>
        <v>0</v>
      </c>
      <c r="O12" s="41">
        <f t="shared" si="2"/>
        <v>0</v>
      </c>
      <c r="P12" s="26">
        <f t="shared" si="2"/>
        <v>0</v>
      </c>
      <c r="Q12" s="26">
        <f t="shared" si="3"/>
        <v>0</v>
      </c>
      <c r="R12" s="26">
        <f t="shared" si="4"/>
        <v>0</v>
      </c>
      <c r="S12" s="26">
        <f t="shared" si="5"/>
        <v>0</v>
      </c>
      <c r="T12" s="26">
        <f t="shared" si="5"/>
        <v>0</v>
      </c>
      <c r="U12" s="42">
        <f t="shared" si="6"/>
        <v>0</v>
      </c>
    </row>
    <row r="13" spans="1:21" ht="19.95" customHeight="1" x14ac:dyDescent="0.3">
      <c r="A13" s="52"/>
      <c r="B13" s="24"/>
      <c r="C13" s="24">
        <v>64014</v>
      </c>
      <c r="D13" s="25" t="s">
        <v>46</v>
      </c>
      <c r="E13" s="43"/>
      <c r="F13" s="27"/>
      <c r="G13" s="27"/>
      <c r="H13" s="44"/>
      <c r="I13" s="49">
        <f>H13*Subsector!$S$11</f>
        <v>0</v>
      </c>
      <c r="J13" s="26">
        <f>H13*Subsector!$S$12</f>
        <v>0</v>
      </c>
      <c r="K13" s="26">
        <f>H13*Subsector!$S$13</f>
        <v>0</v>
      </c>
      <c r="L13" s="26">
        <f>H13*Subsector!$S$15</f>
        <v>0</v>
      </c>
      <c r="M13" s="26">
        <f>H13*Subsector!$S$16</f>
        <v>0</v>
      </c>
      <c r="N13" s="66">
        <f>H13*Subsector!$S$17</f>
        <v>0</v>
      </c>
      <c r="O13" s="41">
        <f t="shared" si="2"/>
        <v>0</v>
      </c>
      <c r="P13" s="26">
        <f t="shared" si="2"/>
        <v>0</v>
      </c>
      <c r="Q13" s="26">
        <f t="shared" si="3"/>
        <v>0</v>
      </c>
      <c r="R13" s="26">
        <f t="shared" si="4"/>
        <v>0</v>
      </c>
      <c r="S13" s="26">
        <f t="shared" si="5"/>
        <v>0</v>
      </c>
      <c r="T13" s="26">
        <f t="shared" si="5"/>
        <v>0</v>
      </c>
      <c r="U13" s="42">
        <f t="shared" si="6"/>
        <v>0</v>
      </c>
    </row>
    <row r="14" spans="1:21" ht="19.95" customHeight="1" x14ac:dyDescent="0.3">
      <c r="A14" s="52"/>
      <c r="B14" s="24"/>
      <c r="C14" s="24">
        <v>64015</v>
      </c>
      <c r="D14" s="25" t="s">
        <v>47</v>
      </c>
      <c r="E14" s="43"/>
      <c r="F14" s="27"/>
      <c r="G14" s="27"/>
      <c r="H14" s="44"/>
      <c r="I14" s="49">
        <f>H14*Subsector!$S$11</f>
        <v>0</v>
      </c>
      <c r="J14" s="26">
        <f>H14*Subsector!$S$12</f>
        <v>0</v>
      </c>
      <c r="K14" s="26">
        <f>H14*Subsector!$S$13</f>
        <v>0</v>
      </c>
      <c r="L14" s="26">
        <f>H14*Subsector!$S$15</f>
        <v>0</v>
      </c>
      <c r="M14" s="26">
        <f>H14*Subsector!$S$16</f>
        <v>0</v>
      </c>
      <c r="N14" s="66">
        <f>H14*Subsector!$S$17</f>
        <v>0</v>
      </c>
      <c r="O14" s="41">
        <f t="shared" si="2"/>
        <v>0</v>
      </c>
      <c r="P14" s="26">
        <f t="shared" si="2"/>
        <v>0</v>
      </c>
      <c r="Q14" s="26">
        <f t="shared" si="3"/>
        <v>0</v>
      </c>
      <c r="R14" s="26">
        <f t="shared" si="4"/>
        <v>0</v>
      </c>
      <c r="S14" s="26">
        <f t="shared" si="5"/>
        <v>0</v>
      </c>
      <c r="T14" s="26">
        <f t="shared" si="5"/>
        <v>0</v>
      </c>
      <c r="U14" s="42">
        <f t="shared" si="6"/>
        <v>0</v>
      </c>
    </row>
    <row r="15" spans="1:21" ht="19.95" customHeight="1" x14ac:dyDescent="0.3">
      <c r="A15" s="52"/>
      <c r="B15" s="24"/>
      <c r="C15" s="24">
        <v>64016</v>
      </c>
      <c r="D15" s="25" t="s">
        <v>48</v>
      </c>
      <c r="E15" s="43"/>
      <c r="F15" s="27"/>
      <c r="G15" s="27"/>
      <c r="H15" s="44"/>
      <c r="I15" s="49">
        <f>H15*Subsector!$S$11</f>
        <v>0</v>
      </c>
      <c r="J15" s="26">
        <f>H15*Subsector!$S$12</f>
        <v>0</v>
      </c>
      <c r="K15" s="26">
        <f>H15*Subsector!$S$13</f>
        <v>0</v>
      </c>
      <c r="L15" s="26">
        <f>H15*Subsector!$S$15</f>
        <v>0</v>
      </c>
      <c r="M15" s="26">
        <f>H15*Subsector!$S$16</f>
        <v>0</v>
      </c>
      <c r="N15" s="66">
        <f>H15*Subsector!$S$17</f>
        <v>0</v>
      </c>
      <c r="O15" s="41">
        <f t="shared" si="2"/>
        <v>0</v>
      </c>
      <c r="P15" s="26">
        <f t="shared" si="2"/>
        <v>0</v>
      </c>
      <c r="Q15" s="26">
        <f t="shared" si="3"/>
        <v>0</v>
      </c>
      <c r="R15" s="26">
        <f t="shared" si="4"/>
        <v>0</v>
      </c>
      <c r="S15" s="26">
        <f t="shared" si="5"/>
        <v>0</v>
      </c>
      <c r="T15" s="26">
        <f t="shared" si="5"/>
        <v>0</v>
      </c>
      <c r="U15" s="42">
        <f t="shared" si="6"/>
        <v>0</v>
      </c>
    </row>
    <row r="16" spans="1:21" ht="19.95" customHeight="1" x14ac:dyDescent="0.3">
      <c r="A16" s="52"/>
      <c r="B16" s="24"/>
      <c r="C16" s="24">
        <v>64017</v>
      </c>
      <c r="D16" s="25" t="s">
        <v>49</v>
      </c>
      <c r="E16" s="43"/>
      <c r="F16" s="27"/>
      <c r="G16" s="27"/>
      <c r="H16" s="44"/>
      <c r="I16" s="49">
        <f>H16*Subsector!$S$11</f>
        <v>0</v>
      </c>
      <c r="J16" s="26">
        <f>H16*Subsector!$S$12</f>
        <v>0</v>
      </c>
      <c r="K16" s="26">
        <f>H16*Subsector!$S$13</f>
        <v>0</v>
      </c>
      <c r="L16" s="26">
        <f>H16*Subsector!$S$15</f>
        <v>0</v>
      </c>
      <c r="M16" s="26">
        <f>H16*Subsector!$S$16</f>
        <v>0</v>
      </c>
      <c r="N16" s="66">
        <f>H16*Subsector!$S$17</f>
        <v>0</v>
      </c>
      <c r="O16" s="41">
        <f t="shared" si="2"/>
        <v>0</v>
      </c>
      <c r="P16" s="26">
        <f t="shared" si="2"/>
        <v>0</v>
      </c>
      <c r="Q16" s="26">
        <f t="shared" si="3"/>
        <v>0</v>
      </c>
      <c r="R16" s="26">
        <f t="shared" si="4"/>
        <v>0</v>
      </c>
      <c r="S16" s="26">
        <f t="shared" si="5"/>
        <v>0</v>
      </c>
      <c r="T16" s="26">
        <f t="shared" si="5"/>
        <v>0</v>
      </c>
      <c r="U16" s="42">
        <f t="shared" si="6"/>
        <v>0</v>
      </c>
    </row>
    <row r="17" spans="1:21" ht="19.95" customHeight="1" x14ac:dyDescent="0.3">
      <c r="A17" s="52"/>
      <c r="B17" s="24"/>
      <c r="C17" s="24">
        <v>64018</v>
      </c>
      <c r="D17" s="25" t="s">
        <v>50</v>
      </c>
      <c r="E17" s="43"/>
      <c r="F17" s="27"/>
      <c r="G17" s="27"/>
      <c r="H17" s="44"/>
      <c r="I17" s="49">
        <f>H17*Subsector!$S$11</f>
        <v>0</v>
      </c>
      <c r="J17" s="26">
        <f>H17*Subsector!$S$12</f>
        <v>0</v>
      </c>
      <c r="K17" s="26">
        <f>H17*Subsector!$S$13</f>
        <v>0</v>
      </c>
      <c r="L17" s="26">
        <f>H17*Subsector!$S$15</f>
        <v>0</v>
      </c>
      <c r="M17" s="26">
        <f>H17*Subsector!$S$16</f>
        <v>0</v>
      </c>
      <c r="N17" s="66">
        <f>H17*Subsector!$S$17</f>
        <v>0</v>
      </c>
      <c r="O17" s="41">
        <f t="shared" si="2"/>
        <v>0</v>
      </c>
      <c r="P17" s="26">
        <f t="shared" si="2"/>
        <v>0</v>
      </c>
      <c r="Q17" s="26">
        <f t="shared" si="3"/>
        <v>0</v>
      </c>
      <c r="R17" s="26">
        <f t="shared" si="4"/>
        <v>0</v>
      </c>
      <c r="S17" s="26">
        <f t="shared" si="5"/>
        <v>0</v>
      </c>
      <c r="T17" s="26">
        <f t="shared" si="5"/>
        <v>0</v>
      </c>
      <c r="U17" s="42">
        <f t="shared" si="6"/>
        <v>0</v>
      </c>
    </row>
    <row r="18" spans="1:21" ht="19.95" customHeight="1" x14ac:dyDescent="0.3">
      <c r="A18" s="51"/>
      <c r="B18" s="23">
        <v>6402</v>
      </c>
      <c r="C18" s="23"/>
      <c r="D18" s="21" t="s">
        <v>51</v>
      </c>
      <c r="E18" s="39">
        <f>SUM(E19:E26)</f>
        <v>0</v>
      </c>
      <c r="F18" s="22">
        <f t="shared" ref="F18:U18" si="7">SUM(F19:F26)</f>
        <v>0</v>
      </c>
      <c r="G18" s="22">
        <f t="shared" si="7"/>
        <v>0</v>
      </c>
      <c r="H18" s="40">
        <f t="shared" si="7"/>
        <v>0</v>
      </c>
      <c r="I18" s="36">
        <f t="shared" si="7"/>
        <v>0</v>
      </c>
      <c r="J18" s="22">
        <f t="shared" si="7"/>
        <v>0</v>
      </c>
      <c r="K18" s="22">
        <f t="shared" si="7"/>
        <v>0</v>
      </c>
      <c r="L18" s="22">
        <f t="shared" si="7"/>
        <v>0</v>
      </c>
      <c r="M18" s="22">
        <f t="shared" si="7"/>
        <v>0</v>
      </c>
      <c r="N18" s="65">
        <f t="shared" si="7"/>
        <v>0</v>
      </c>
      <c r="O18" s="39">
        <f t="shared" si="7"/>
        <v>0</v>
      </c>
      <c r="P18" s="22">
        <f t="shared" si="7"/>
        <v>0</v>
      </c>
      <c r="Q18" s="22">
        <f t="shared" si="7"/>
        <v>0</v>
      </c>
      <c r="R18" s="22">
        <f t="shared" si="7"/>
        <v>0</v>
      </c>
      <c r="S18" s="22">
        <f t="shared" si="7"/>
        <v>0</v>
      </c>
      <c r="T18" s="22">
        <f t="shared" si="7"/>
        <v>0</v>
      </c>
      <c r="U18" s="40">
        <f t="shared" si="7"/>
        <v>0</v>
      </c>
    </row>
    <row r="19" spans="1:21" ht="19.95" customHeight="1" x14ac:dyDescent="0.3">
      <c r="A19" s="52"/>
      <c r="B19" s="24"/>
      <c r="C19" s="24">
        <v>64021</v>
      </c>
      <c r="D19" s="25" t="s">
        <v>52</v>
      </c>
      <c r="E19" s="43"/>
      <c r="F19" s="27"/>
      <c r="G19" s="27"/>
      <c r="H19" s="44"/>
      <c r="I19" s="49">
        <f>H19*Subsector!$S$11</f>
        <v>0</v>
      </c>
      <c r="J19" s="26">
        <f>H19*Subsector!$S$12</f>
        <v>0</v>
      </c>
      <c r="K19" s="26">
        <f>H19*Subsector!$S$13</f>
        <v>0</v>
      </c>
      <c r="L19" s="26">
        <f>H19*Subsector!$S$15</f>
        <v>0</v>
      </c>
      <c r="M19" s="26">
        <f>H19*Subsector!$S$16</f>
        <v>0</v>
      </c>
      <c r="N19" s="66">
        <f>H19*Subsector!$S$17</f>
        <v>0</v>
      </c>
      <c r="O19" s="41">
        <f t="shared" ref="O19:P26" si="8">ROUNDUP(SUM(E19,I19),1)</f>
        <v>0</v>
      </c>
      <c r="P19" s="26">
        <f t="shared" si="8"/>
        <v>0</v>
      </c>
      <c r="Q19" s="26">
        <f t="shared" ref="Q19:Q26" si="9">ROUNDUP(SUM(K19),1)</f>
        <v>0</v>
      </c>
      <c r="R19" s="26">
        <f t="shared" ref="R19:R26" si="10">ROUNDUP(SUM(G19,L19),1)</f>
        <v>0</v>
      </c>
      <c r="S19" s="26">
        <f t="shared" ref="S19:T26" si="11">ROUNDUP(SUM(M19),1)</f>
        <v>0</v>
      </c>
      <c r="T19" s="26">
        <f t="shared" si="11"/>
        <v>0</v>
      </c>
      <c r="U19" s="42">
        <f t="shared" ref="U19:U26" si="12">SUM(O19:T19)</f>
        <v>0</v>
      </c>
    </row>
    <row r="20" spans="1:21" ht="19.95" customHeight="1" x14ac:dyDescent="0.3">
      <c r="A20" s="52"/>
      <c r="B20" s="24"/>
      <c r="C20" s="24">
        <v>64022</v>
      </c>
      <c r="D20" s="25" t="s">
        <v>53</v>
      </c>
      <c r="E20" s="43"/>
      <c r="F20" s="27"/>
      <c r="G20" s="27"/>
      <c r="H20" s="44"/>
      <c r="I20" s="49">
        <f>H20*Subsector!$S$11</f>
        <v>0</v>
      </c>
      <c r="J20" s="26">
        <f>H20*Subsector!$S$12</f>
        <v>0</v>
      </c>
      <c r="K20" s="26">
        <f>H20*Subsector!$S$13</f>
        <v>0</v>
      </c>
      <c r="L20" s="26">
        <f>H20*Subsector!$S$15</f>
        <v>0</v>
      </c>
      <c r="M20" s="26">
        <f>H20*Subsector!$S$16</f>
        <v>0</v>
      </c>
      <c r="N20" s="66">
        <f>H20*Subsector!$S$17</f>
        <v>0</v>
      </c>
      <c r="O20" s="41">
        <f t="shared" si="8"/>
        <v>0</v>
      </c>
      <c r="P20" s="26">
        <f t="shared" si="8"/>
        <v>0</v>
      </c>
      <c r="Q20" s="26">
        <f t="shared" si="9"/>
        <v>0</v>
      </c>
      <c r="R20" s="26">
        <f t="shared" si="10"/>
        <v>0</v>
      </c>
      <c r="S20" s="26">
        <f t="shared" si="11"/>
        <v>0</v>
      </c>
      <c r="T20" s="26">
        <f t="shared" si="11"/>
        <v>0</v>
      </c>
      <c r="U20" s="42">
        <f t="shared" si="12"/>
        <v>0</v>
      </c>
    </row>
    <row r="21" spans="1:21" ht="19.95" customHeight="1" x14ac:dyDescent="0.3">
      <c r="A21" s="52"/>
      <c r="B21" s="24"/>
      <c r="C21" s="24">
        <v>64023</v>
      </c>
      <c r="D21" s="25" t="s">
        <v>54</v>
      </c>
      <c r="E21" s="43"/>
      <c r="F21" s="27"/>
      <c r="G21" s="27"/>
      <c r="H21" s="44"/>
      <c r="I21" s="49">
        <f>H21*Subsector!$S$11</f>
        <v>0</v>
      </c>
      <c r="J21" s="26">
        <f>H21*Subsector!$S$12</f>
        <v>0</v>
      </c>
      <c r="K21" s="26">
        <f>H21*Subsector!$S$13</f>
        <v>0</v>
      </c>
      <c r="L21" s="26">
        <f>H21*Subsector!$S$15</f>
        <v>0</v>
      </c>
      <c r="M21" s="26">
        <f>H21*Subsector!$S$16</f>
        <v>0</v>
      </c>
      <c r="N21" s="66">
        <f>H21*Subsector!$S$17</f>
        <v>0</v>
      </c>
      <c r="O21" s="41">
        <f t="shared" si="8"/>
        <v>0</v>
      </c>
      <c r="P21" s="26">
        <f t="shared" si="8"/>
        <v>0</v>
      </c>
      <c r="Q21" s="26">
        <f t="shared" si="9"/>
        <v>0</v>
      </c>
      <c r="R21" s="26">
        <f t="shared" si="10"/>
        <v>0</v>
      </c>
      <c r="S21" s="26">
        <f t="shared" si="11"/>
        <v>0</v>
      </c>
      <c r="T21" s="26">
        <f t="shared" si="11"/>
        <v>0</v>
      </c>
      <c r="U21" s="42">
        <f t="shared" si="12"/>
        <v>0</v>
      </c>
    </row>
    <row r="22" spans="1:21" ht="19.95" customHeight="1" x14ac:dyDescent="0.3">
      <c r="A22" s="52"/>
      <c r="B22" s="24"/>
      <c r="C22" s="24">
        <v>64024</v>
      </c>
      <c r="D22" s="25" t="s">
        <v>55</v>
      </c>
      <c r="E22" s="43"/>
      <c r="F22" s="27"/>
      <c r="G22" s="27"/>
      <c r="H22" s="44"/>
      <c r="I22" s="49">
        <f>H22*Subsector!$S$11</f>
        <v>0</v>
      </c>
      <c r="J22" s="26">
        <f>H22*Subsector!$S$12</f>
        <v>0</v>
      </c>
      <c r="K22" s="26">
        <f>H22*Subsector!$S$13</f>
        <v>0</v>
      </c>
      <c r="L22" s="26">
        <f>H22*Subsector!$S$15</f>
        <v>0</v>
      </c>
      <c r="M22" s="26">
        <f>H22*Subsector!$S$16</f>
        <v>0</v>
      </c>
      <c r="N22" s="66">
        <f>H22*Subsector!$S$17</f>
        <v>0</v>
      </c>
      <c r="O22" s="41">
        <f t="shared" si="8"/>
        <v>0</v>
      </c>
      <c r="P22" s="26">
        <f t="shared" si="8"/>
        <v>0</v>
      </c>
      <c r="Q22" s="26">
        <f t="shared" si="9"/>
        <v>0</v>
      </c>
      <c r="R22" s="26">
        <f t="shared" si="10"/>
        <v>0</v>
      </c>
      <c r="S22" s="26">
        <f t="shared" si="11"/>
        <v>0</v>
      </c>
      <c r="T22" s="26">
        <f t="shared" si="11"/>
        <v>0</v>
      </c>
      <c r="U22" s="42">
        <f t="shared" si="12"/>
        <v>0</v>
      </c>
    </row>
    <row r="23" spans="1:21" ht="19.95" customHeight="1" x14ac:dyDescent="0.3">
      <c r="A23" s="52"/>
      <c r="B23" s="24"/>
      <c r="C23" s="24">
        <v>64025</v>
      </c>
      <c r="D23" s="25" t="s">
        <v>56</v>
      </c>
      <c r="E23" s="43"/>
      <c r="F23" s="27"/>
      <c r="G23" s="27"/>
      <c r="H23" s="44"/>
      <c r="I23" s="49">
        <f>H23*Subsector!$S$11</f>
        <v>0</v>
      </c>
      <c r="J23" s="26">
        <f>H23*Subsector!$S$12</f>
        <v>0</v>
      </c>
      <c r="K23" s="26">
        <f>H23*Subsector!$S$13</f>
        <v>0</v>
      </c>
      <c r="L23" s="26">
        <f>H23*Subsector!$S$15</f>
        <v>0</v>
      </c>
      <c r="M23" s="26">
        <f>H23*Subsector!$S$16</f>
        <v>0</v>
      </c>
      <c r="N23" s="66">
        <f>H23*Subsector!$S$17</f>
        <v>0</v>
      </c>
      <c r="O23" s="41">
        <f t="shared" si="8"/>
        <v>0</v>
      </c>
      <c r="P23" s="26">
        <f t="shared" si="8"/>
        <v>0</v>
      </c>
      <c r="Q23" s="26">
        <f t="shared" si="9"/>
        <v>0</v>
      </c>
      <c r="R23" s="26">
        <f t="shared" si="10"/>
        <v>0</v>
      </c>
      <c r="S23" s="26">
        <f t="shared" si="11"/>
        <v>0</v>
      </c>
      <c r="T23" s="26">
        <f t="shared" si="11"/>
        <v>0</v>
      </c>
      <c r="U23" s="42">
        <f t="shared" si="12"/>
        <v>0</v>
      </c>
    </row>
    <row r="24" spans="1:21" ht="19.95" customHeight="1" x14ac:dyDescent="0.3">
      <c r="A24" s="52"/>
      <c r="B24" s="24"/>
      <c r="C24" s="24">
        <v>64026</v>
      </c>
      <c r="D24" s="25" t="s">
        <v>57</v>
      </c>
      <c r="E24" s="43"/>
      <c r="F24" s="27"/>
      <c r="G24" s="27"/>
      <c r="H24" s="44"/>
      <c r="I24" s="49">
        <f>H24*Subsector!$S$11</f>
        <v>0</v>
      </c>
      <c r="J24" s="26">
        <f>H24*Subsector!$S$12</f>
        <v>0</v>
      </c>
      <c r="K24" s="26">
        <f>H24*Subsector!$S$13</f>
        <v>0</v>
      </c>
      <c r="L24" s="26">
        <f>H24*Subsector!$S$15</f>
        <v>0</v>
      </c>
      <c r="M24" s="26">
        <f>H24*Subsector!$S$16</f>
        <v>0</v>
      </c>
      <c r="N24" s="66">
        <f>H24*Subsector!$S$17</f>
        <v>0</v>
      </c>
      <c r="O24" s="41">
        <f t="shared" si="8"/>
        <v>0</v>
      </c>
      <c r="P24" s="26">
        <f t="shared" si="8"/>
        <v>0</v>
      </c>
      <c r="Q24" s="26">
        <f t="shared" si="9"/>
        <v>0</v>
      </c>
      <c r="R24" s="26">
        <f t="shared" si="10"/>
        <v>0</v>
      </c>
      <c r="S24" s="26">
        <f t="shared" si="11"/>
        <v>0</v>
      </c>
      <c r="T24" s="26">
        <f t="shared" si="11"/>
        <v>0</v>
      </c>
      <c r="U24" s="42">
        <f t="shared" si="12"/>
        <v>0</v>
      </c>
    </row>
    <row r="25" spans="1:21" ht="19.95" customHeight="1" x14ac:dyDescent="0.3">
      <c r="A25" s="52"/>
      <c r="B25" s="24"/>
      <c r="C25" s="24">
        <v>64027</v>
      </c>
      <c r="D25" s="25" t="s">
        <v>58</v>
      </c>
      <c r="E25" s="43"/>
      <c r="F25" s="27"/>
      <c r="G25" s="27"/>
      <c r="H25" s="44"/>
      <c r="I25" s="49">
        <f>H25*Subsector!$S$11</f>
        <v>0</v>
      </c>
      <c r="J25" s="26">
        <f>H25*Subsector!$S$12</f>
        <v>0</v>
      </c>
      <c r="K25" s="26">
        <f>H25*Subsector!$S$13</f>
        <v>0</v>
      </c>
      <c r="L25" s="26">
        <f>H25*Subsector!$S$15</f>
        <v>0</v>
      </c>
      <c r="M25" s="26">
        <f>H25*Subsector!$S$16</f>
        <v>0</v>
      </c>
      <c r="N25" s="66">
        <f>H25*Subsector!$S$17</f>
        <v>0</v>
      </c>
      <c r="O25" s="41">
        <f t="shared" si="8"/>
        <v>0</v>
      </c>
      <c r="P25" s="26">
        <f t="shared" si="8"/>
        <v>0</v>
      </c>
      <c r="Q25" s="26">
        <f t="shared" si="9"/>
        <v>0</v>
      </c>
      <c r="R25" s="26">
        <f t="shared" si="10"/>
        <v>0</v>
      </c>
      <c r="S25" s="26">
        <f t="shared" si="11"/>
        <v>0</v>
      </c>
      <c r="T25" s="26">
        <f t="shared" si="11"/>
        <v>0</v>
      </c>
      <c r="U25" s="42">
        <f t="shared" si="12"/>
        <v>0</v>
      </c>
    </row>
    <row r="26" spans="1:21" ht="19.95" customHeight="1" x14ac:dyDescent="0.3">
      <c r="A26" s="52"/>
      <c r="B26" s="24"/>
      <c r="C26" s="24">
        <v>64028</v>
      </c>
      <c r="D26" s="25" t="s">
        <v>59</v>
      </c>
      <c r="E26" s="43"/>
      <c r="F26" s="27"/>
      <c r="G26" s="27"/>
      <c r="H26" s="44"/>
      <c r="I26" s="49">
        <f>H26*Subsector!$S$11</f>
        <v>0</v>
      </c>
      <c r="J26" s="26">
        <f>H26*Subsector!$S$12</f>
        <v>0</v>
      </c>
      <c r="K26" s="26">
        <f>H26*Subsector!$S$13</f>
        <v>0</v>
      </c>
      <c r="L26" s="26">
        <f>H26*Subsector!$S$15</f>
        <v>0</v>
      </c>
      <c r="M26" s="26">
        <f>H26*Subsector!$S$16</f>
        <v>0</v>
      </c>
      <c r="N26" s="66">
        <f>H26*Subsector!$S$17</f>
        <v>0</v>
      </c>
      <c r="O26" s="41">
        <f t="shared" si="8"/>
        <v>0</v>
      </c>
      <c r="P26" s="26">
        <f t="shared" si="8"/>
        <v>0</v>
      </c>
      <c r="Q26" s="26">
        <f t="shared" si="9"/>
        <v>0</v>
      </c>
      <c r="R26" s="26">
        <f t="shared" si="10"/>
        <v>0</v>
      </c>
      <c r="S26" s="26">
        <f t="shared" si="11"/>
        <v>0</v>
      </c>
      <c r="T26" s="26">
        <f t="shared" si="11"/>
        <v>0</v>
      </c>
      <c r="U26" s="42">
        <f t="shared" si="12"/>
        <v>0</v>
      </c>
    </row>
    <row r="27" spans="1:21" ht="19.95" customHeight="1" x14ac:dyDescent="0.3">
      <c r="A27" s="51"/>
      <c r="B27" s="23">
        <v>6403</v>
      </c>
      <c r="C27" s="23"/>
      <c r="D27" s="21" t="s">
        <v>60</v>
      </c>
      <c r="E27" s="39">
        <f>SUM(E28:E32)</f>
        <v>0</v>
      </c>
      <c r="F27" s="22">
        <f t="shared" ref="F27:U27" si="13">SUM(F28:F32)</f>
        <v>0</v>
      </c>
      <c r="G27" s="22">
        <f t="shared" si="13"/>
        <v>0</v>
      </c>
      <c r="H27" s="40">
        <f t="shared" si="13"/>
        <v>0</v>
      </c>
      <c r="I27" s="36">
        <f t="shared" si="13"/>
        <v>0</v>
      </c>
      <c r="J27" s="22">
        <f t="shared" si="13"/>
        <v>0</v>
      </c>
      <c r="K27" s="22">
        <f t="shared" si="13"/>
        <v>0</v>
      </c>
      <c r="L27" s="22">
        <f t="shared" si="13"/>
        <v>0</v>
      </c>
      <c r="M27" s="22">
        <f t="shared" si="13"/>
        <v>0</v>
      </c>
      <c r="N27" s="65">
        <f t="shared" si="13"/>
        <v>0</v>
      </c>
      <c r="O27" s="39">
        <f t="shared" si="13"/>
        <v>0</v>
      </c>
      <c r="P27" s="22">
        <f t="shared" si="13"/>
        <v>0</v>
      </c>
      <c r="Q27" s="22">
        <f t="shared" si="13"/>
        <v>0</v>
      </c>
      <c r="R27" s="22">
        <f t="shared" si="13"/>
        <v>0</v>
      </c>
      <c r="S27" s="22">
        <f t="shared" si="13"/>
        <v>0</v>
      </c>
      <c r="T27" s="22">
        <f t="shared" si="13"/>
        <v>0</v>
      </c>
      <c r="U27" s="40">
        <f t="shared" si="13"/>
        <v>0</v>
      </c>
    </row>
    <row r="28" spans="1:21" ht="19.95" customHeight="1" x14ac:dyDescent="0.3">
      <c r="A28" s="52"/>
      <c r="B28" s="24"/>
      <c r="C28" s="24">
        <v>64033</v>
      </c>
      <c r="D28" s="25" t="s">
        <v>61</v>
      </c>
      <c r="E28" s="43"/>
      <c r="F28" s="27"/>
      <c r="G28" s="27"/>
      <c r="H28" s="44"/>
      <c r="I28" s="49">
        <f>H28*Subsector!$S$11</f>
        <v>0</v>
      </c>
      <c r="J28" s="26">
        <f>H28*Subsector!$S$12</f>
        <v>0</v>
      </c>
      <c r="K28" s="26">
        <f>H28*Subsector!$S$13</f>
        <v>0</v>
      </c>
      <c r="L28" s="26">
        <f>H28*Subsector!$S$15</f>
        <v>0</v>
      </c>
      <c r="M28" s="26">
        <f>H28*Subsector!$S$16</f>
        <v>0</v>
      </c>
      <c r="N28" s="66">
        <f>H28*Subsector!$S$17</f>
        <v>0</v>
      </c>
      <c r="O28" s="41">
        <f t="shared" ref="O28:P32" si="14">ROUNDUP(SUM(E28,I28),1)</f>
        <v>0</v>
      </c>
      <c r="P28" s="26">
        <f t="shared" si="14"/>
        <v>0</v>
      </c>
      <c r="Q28" s="26">
        <f>ROUNDUP(SUM(K28),1)</f>
        <v>0</v>
      </c>
      <c r="R28" s="26">
        <f>ROUNDUP(SUM(G28,L28),1)</f>
        <v>0</v>
      </c>
      <c r="S28" s="26">
        <f t="shared" ref="S28:T32" si="15">ROUNDUP(SUM(M28),1)</f>
        <v>0</v>
      </c>
      <c r="T28" s="26">
        <f t="shared" si="15"/>
        <v>0</v>
      </c>
      <c r="U28" s="42">
        <f>SUM(O28:T28)</f>
        <v>0</v>
      </c>
    </row>
    <row r="29" spans="1:21" ht="19.95" customHeight="1" x14ac:dyDescent="0.3">
      <c r="A29" s="52"/>
      <c r="B29" s="24"/>
      <c r="C29" s="24">
        <v>64034</v>
      </c>
      <c r="D29" s="25" t="s">
        <v>62</v>
      </c>
      <c r="E29" s="43"/>
      <c r="F29" s="27"/>
      <c r="G29" s="27"/>
      <c r="H29" s="44"/>
      <c r="I29" s="49">
        <f>H29*Subsector!$S$11</f>
        <v>0</v>
      </c>
      <c r="J29" s="26">
        <f>H29*Subsector!$S$12</f>
        <v>0</v>
      </c>
      <c r="K29" s="26">
        <f>H29*Subsector!$S$13</f>
        <v>0</v>
      </c>
      <c r="L29" s="26">
        <f>H29*Subsector!$S$15</f>
        <v>0</v>
      </c>
      <c r="M29" s="26">
        <f>H29*Subsector!$S$16</f>
        <v>0</v>
      </c>
      <c r="N29" s="66">
        <f>H29*Subsector!$S$17</f>
        <v>0</v>
      </c>
      <c r="O29" s="41">
        <f t="shared" si="14"/>
        <v>0</v>
      </c>
      <c r="P29" s="26">
        <f t="shared" si="14"/>
        <v>0</v>
      </c>
      <c r="Q29" s="26">
        <f>ROUNDUP(SUM(K29),1)</f>
        <v>0</v>
      </c>
      <c r="R29" s="26">
        <f>ROUNDUP(SUM(G29,L29),1)</f>
        <v>0</v>
      </c>
      <c r="S29" s="26">
        <f t="shared" si="15"/>
        <v>0</v>
      </c>
      <c r="T29" s="26">
        <f t="shared" si="15"/>
        <v>0</v>
      </c>
      <c r="U29" s="42">
        <f>SUM(O29:T29)</f>
        <v>0</v>
      </c>
    </row>
    <row r="30" spans="1:21" ht="19.95" customHeight="1" x14ac:dyDescent="0.3">
      <c r="A30" s="52"/>
      <c r="B30" s="24"/>
      <c r="C30" s="24">
        <v>64035</v>
      </c>
      <c r="D30" s="25" t="s">
        <v>63</v>
      </c>
      <c r="E30" s="43"/>
      <c r="F30" s="27"/>
      <c r="G30" s="27"/>
      <c r="H30" s="44"/>
      <c r="I30" s="49">
        <f>H30*Subsector!$S$11</f>
        <v>0</v>
      </c>
      <c r="J30" s="26">
        <f>H30*Subsector!$S$12</f>
        <v>0</v>
      </c>
      <c r="K30" s="26">
        <f>H30*Subsector!$S$13</f>
        <v>0</v>
      </c>
      <c r="L30" s="26">
        <f>H30*Subsector!$S$15</f>
        <v>0</v>
      </c>
      <c r="M30" s="26">
        <f>H30*Subsector!$S$16</f>
        <v>0</v>
      </c>
      <c r="N30" s="66">
        <f>H30*Subsector!$S$17</f>
        <v>0</v>
      </c>
      <c r="O30" s="41">
        <f t="shared" si="14"/>
        <v>0</v>
      </c>
      <c r="P30" s="26">
        <f t="shared" si="14"/>
        <v>0</v>
      </c>
      <c r="Q30" s="26">
        <f>ROUNDUP(SUM(K30),1)</f>
        <v>0</v>
      </c>
      <c r="R30" s="26">
        <f>ROUNDUP(SUM(G30,L30),1)</f>
        <v>0</v>
      </c>
      <c r="S30" s="26">
        <f t="shared" si="15"/>
        <v>0</v>
      </c>
      <c r="T30" s="26">
        <f t="shared" si="15"/>
        <v>0</v>
      </c>
      <c r="U30" s="42">
        <f>SUM(O30:T30)</f>
        <v>0</v>
      </c>
    </row>
    <row r="31" spans="1:21" ht="19.95" customHeight="1" x14ac:dyDescent="0.3">
      <c r="A31" s="52"/>
      <c r="B31" s="24"/>
      <c r="C31" s="24">
        <v>64037</v>
      </c>
      <c r="D31" s="25" t="s">
        <v>64</v>
      </c>
      <c r="E31" s="43"/>
      <c r="F31" s="27"/>
      <c r="G31" s="27"/>
      <c r="H31" s="44"/>
      <c r="I31" s="49">
        <f>H31*Subsector!$S$11</f>
        <v>0</v>
      </c>
      <c r="J31" s="26">
        <f>H31*Subsector!$S$12</f>
        <v>0</v>
      </c>
      <c r="K31" s="26">
        <f>H31*Subsector!$S$13</f>
        <v>0</v>
      </c>
      <c r="L31" s="26">
        <f>H31*Subsector!$S$15</f>
        <v>0</v>
      </c>
      <c r="M31" s="26">
        <f>H31*Subsector!$S$16</f>
        <v>0</v>
      </c>
      <c r="N31" s="66">
        <f>H31*Subsector!$S$17</f>
        <v>0</v>
      </c>
      <c r="O31" s="41">
        <f t="shared" si="14"/>
        <v>0</v>
      </c>
      <c r="P31" s="26">
        <f t="shared" si="14"/>
        <v>0</v>
      </c>
      <c r="Q31" s="26">
        <f>ROUNDUP(SUM(K31),1)</f>
        <v>0</v>
      </c>
      <c r="R31" s="26">
        <f>ROUNDUP(SUM(G31,L31),1)</f>
        <v>0</v>
      </c>
      <c r="S31" s="26">
        <f t="shared" si="15"/>
        <v>0</v>
      </c>
      <c r="T31" s="26">
        <f t="shared" si="15"/>
        <v>0</v>
      </c>
      <c r="U31" s="42">
        <f>SUM(O31:T31)</f>
        <v>0</v>
      </c>
    </row>
    <row r="32" spans="1:21" ht="19.95" customHeight="1" x14ac:dyDescent="0.3">
      <c r="A32" s="52"/>
      <c r="B32" s="24"/>
      <c r="C32" s="24">
        <v>64038</v>
      </c>
      <c r="D32" s="25" t="s">
        <v>60</v>
      </c>
      <c r="E32" s="43"/>
      <c r="F32" s="27"/>
      <c r="G32" s="27"/>
      <c r="H32" s="44"/>
      <c r="I32" s="49">
        <f>H32*Subsector!$S$11</f>
        <v>0</v>
      </c>
      <c r="J32" s="26">
        <f>H32*Subsector!$S$12</f>
        <v>0</v>
      </c>
      <c r="K32" s="26">
        <f>H32*Subsector!$S$13</f>
        <v>0</v>
      </c>
      <c r="L32" s="26">
        <f>H32*Subsector!$S$15</f>
        <v>0</v>
      </c>
      <c r="M32" s="26">
        <f>H32*Subsector!$S$16</f>
        <v>0</v>
      </c>
      <c r="N32" s="66">
        <f>H32*Subsector!$S$17</f>
        <v>0</v>
      </c>
      <c r="O32" s="41">
        <f t="shared" si="14"/>
        <v>0</v>
      </c>
      <c r="P32" s="26">
        <f t="shared" si="14"/>
        <v>0</v>
      </c>
      <c r="Q32" s="26">
        <f>ROUNDUP(SUM(K32),1)</f>
        <v>0</v>
      </c>
      <c r="R32" s="26">
        <f>ROUNDUP(SUM(G32,L32),1)</f>
        <v>0</v>
      </c>
      <c r="S32" s="26">
        <f t="shared" si="15"/>
        <v>0</v>
      </c>
      <c r="T32" s="26">
        <f t="shared" si="15"/>
        <v>0</v>
      </c>
      <c r="U32" s="42">
        <f>SUM(O32:T32)</f>
        <v>0</v>
      </c>
    </row>
    <row r="33" spans="1:21" ht="19.95" customHeight="1" x14ac:dyDescent="0.3">
      <c r="A33" s="51"/>
      <c r="B33" s="23">
        <v>6404</v>
      </c>
      <c r="C33" s="23"/>
      <c r="D33" s="21" t="s">
        <v>65</v>
      </c>
      <c r="E33" s="39">
        <f>SUM(E34:E36)</f>
        <v>0</v>
      </c>
      <c r="F33" s="22">
        <f t="shared" ref="F33:U33" si="16">SUM(F34:F36)</f>
        <v>0</v>
      </c>
      <c r="G33" s="22">
        <f t="shared" si="16"/>
        <v>0</v>
      </c>
      <c r="H33" s="40">
        <f t="shared" si="16"/>
        <v>0</v>
      </c>
      <c r="I33" s="36">
        <f t="shared" si="16"/>
        <v>0</v>
      </c>
      <c r="J33" s="22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65">
        <f t="shared" si="16"/>
        <v>0</v>
      </c>
      <c r="O33" s="39">
        <f t="shared" si="16"/>
        <v>0</v>
      </c>
      <c r="P33" s="22">
        <f t="shared" si="16"/>
        <v>0</v>
      </c>
      <c r="Q33" s="22">
        <f t="shared" si="16"/>
        <v>0</v>
      </c>
      <c r="R33" s="22">
        <f t="shared" si="16"/>
        <v>0</v>
      </c>
      <c r="S33" s="22">
        <f t="shared" si="16"/>
        <v>0</v>
      </c>
      <c r="T33" s="22">
        <f t="shared" si="16"/>
        <v>0</v>
      </c>
      <c r="U33" s="40">
        <f t="shared" si="16"/>
        <v>0</v>
      </c>
    </row>
    <row r="34" spans="1:21" ht="19.95" customHeight="1" x14ac:dyDescent="0.3">
      <c r="A34" s="52"/>
      <c r="B34" s="24"/>
      <c r="C34" s="24">
        <v>64041</v>
      </c>
      <c r="D34" s="25" t="s">
        <v>66</v>
      </c>
      <c r="E34" s="43"/>
      <c r="F34" s="27"/>
      <c r="G34" s="27"/>
      <c r="H34" s="44"/>
      <c r="I34" s="49">
        <f>H34*Subsector!$S$11</f>
        <v>0</v>
      </c>
      <c r="J34" s="26">
        <f>H34*Subsector!$S$12</f>
        <v>0</v>
      </c>
      <c r="K34" s="26">
        <f>H34*Subsector!$S$13</f>
        <v>0</v>
      </c>
      <c r="L34" s="26">
        <f>H34*Subsector!$S$15</f>
        <v>0</v>
      </c>
      <c r="M34" s="26">
        <f>H34*Subsector!$S$16</f>
        <v>0</v>
      </c>
      <c r="N34" s="66">
        <f>H34*Subsector!$S$17</f>
        <v>0</v>
      </c>
      <c r="O34" s="41">
        <f t="shared" ref="O34:P36" si="17">ROUNDUP(SUM(E34,I34),1)</f>
        <v>0</v>
      </c>
      <c r="P34" s="26">
        <f t="shared" si="17"/>
        <v>0</v>
      </c>
      <c r="Q34" s="26">
        <f>ROUNDUP(SUM(K34),1)</f>
        <v>0</v>
      </c>
      <c r="R34" s="26">
        <f>ROUNDUP(SUM(G34,L34),1)</f>
        <v>0</v>
      </c>
      <c r="S34" s="26">
        <f t="shared" ref="S34:T36" si="18">ROUNDUP(SUM(M34),1)</f>
        <v>0</v>
      </c>
      <c r="T34" s="26">
        <f t="shared" si="18"/>
        <v>0</v>
      </c>
      <c r="U34" s="42">
        <f>SUM(O34:T34)</f>
        <v>0</v>
      </c>
    </row>
    <row r="35" spans="1:21" ht="19.95" customHeight="1" x14ac:dyDescent="0.3">
      <c r="A35" s="52"/>
      <c r="B35" s="24"/>
      <c r="C35" s="24">
        <v>64042</v>
      </c>
      <c r="D35" s="25" t="s">
        <v>67</v>
      </c>
      <c r="E35" s="43"/>
      <c r="F35" s="27"/>
      <c r="G35" s="27"/>
      <c r="H35" s="44"/>
      <c r="I35" s="49">
        <f>H35*Subsector!$S$11</f>
        <v>0</v>
      </c>
      <c r="J35" s="26">
        <f>H35*Subsector!$S$12</f>
        <v>0</v>
      </c>
      <c r="K35" s="26">
        <f>H35*Subsector!$S$13</f>
        <v>0</v>
      </c>
      <c r="L35" s="26">
        <f>H35*Subsector!$S$15</f>
        <v>0</v>
      </c>
      <c r="M35" s="26">
        <f>H35*Subsector!$S$16</f>
        <v>0</v>
      </c>
      <c r="N35" s="66">
        <f>H35*Subsector!$S$17</f>
        <v>0</v>
      </c>
      <c r="O35" s="41">
        <f t="shared" si="17"/>
        <v>0</v>
      </c>
      <c r="P35" s="26">
        <f t="shared" si="17"/>
        <v>0</v>
      </c>
      <c r="Q35" s="26">
        <f>ROUNDUP(SUM(K35),1)</f>
        <v>0</v>
      </c>
      <c r="R35" s="26">
        <f>ROUNDUP(SUM(G35,L35),1)</f>
        <v>0</v>
      </c>
      <c r="S35" s="26">
        <f t="shared" si="18"/>
        <v>0</v>
      </c>
      <c r="T35" s="26">
        <f t="shared" si="18"/>
        <v>0</v>
      </c>
      <c r="U35" s="42">
        <f>SUM(O35:T35)</f>
        <v>0</v>
      </c>
    </row>
    <row r="36" spans="1:21" ht="19.95" customHeight="1" x14ac:dyDescent="0.3">
      <c r="A36" s="53"/>
      <c r="B36" s="23"/>
      <c r="C36" s="24">
        <v>64048</v>
      </c>
      <c r="D36" s="25" t="s">
        <v>68</v>
      </c>
      <c r="E36" s="43"/>
      <c r="F36" s="27"/>
      <c r="G36" s="27"/>
      <c r="H36" s="44"/>
      <c r="I36" s="49">
        <f>H36*Subsector!$S$11</f>
        <v>0</v>
      </c>
      <c r="J36" s="26">
        <f>H36*Subsector!$S$12</f>
        <v>0</v>
      </c>
      <c r="K36" s="26">
        <f>H36*Subsector!$S$13</f>
        <v>0</v>
      </c>
      <c r="L36" s="26">
        <f>H36*Subsector!$S$15</f>
        <v>0</v>
      </c>
      <c r="M36" s="26">
        <f>H36*Subsector!$S$16</f>
        <v>0</v>
      </c>
      <c r="N36" s="66">
        <f>H36*Subsector!$S$17</f>
        <v>0</v>
      </c>
      <c r="O36" s="41">
        <f t="shared" si="17"/>
        <v>0</v>
      </c>
      <c r="P36" s="26">
        <f t="shared" si="17"/>
        <v>0</v>
      </c>
      <c r="Q36" s="26">
        <f>ROUNDUP(SUM(K36),1)</f>
        <v>0</v>
      </c>
      <c r="R36" s="26">
        <f>ROUNDUP(SUM(G36,L36),1)</f>
        <v>0</v>
      </c>
      <c r="S36" s="26">
        <f t="shared" si="18"/>
        <v>0</v>
      </c>
      <c r="T36" s="26">
        <f t="shared" si="18"/>
        <v>0</v>
      </c>
      <c r="U36" s="42">
        <f>SUM(O36:T36)</f>
        <v>0</v>
      </c>
    </row>
    <row r="37" spans="1:21" ht="19.95" customHeight="1" x14ac:dyDescent="0.3">
      <c r="A37" s="54"/>
      <c r="B37" s="23">
        <v>6405</v>
      </c>
      <c r="C37" s="23"/>
      <c r="D37" s="21" t="s">
        <v>69</v>
      </c>
      <c r="E37" s="39">
        <f>SUM(E38:E44)</f>
        <v>0</v>
      </c>
      <c r="F37" s="22">
        <f t="shared" ref="F37:U37" si="19">SUM(F38:F44)</f>
        <v>0</v>
      </c>
      <c r="G37" s="22">
        <f t="shared" si="19"/>
        <v>0</v>
      </c>
      <c r="H37" s="40">
        <f t="shared" si="19"/>
        <v>0</v>
      </c>
      <c r="I37" s="36">
        <f t="shared" si="19"/>
        <v>0</v>
      </c>
      <c r="J37" s="22">
        <f t="shared" si="19"/>
        <v>0</v>
      </c>
      <c r="K37" s="22">
        <f t="shared" si="19"/>
        <v>0</v>
      </c>
      <c r="L37" s="22">
        <f t="shared" si="19"/>
        <v>0</v>
      </c>
      <c r="M37" s="22">
        <f t="shared" si="19"/>
        <v>0</v>
      </c>
      <c r="N37" s="65">
        <f t="shared" si="19"/>
        <v>0</v>
      </c>
      <c r="O37" s="39">
        <f t="shared" si="19"/>
        <v>0</v>
      </c>
      <c r="P37" s="22">
        <f t="shared" si="19"/>
        <v>0</v>
      </c>
      <c r="Q37" s="22">
        <f t="shared" si="19"/>
        <v>0</v>
      </c>
      <c r="R37" s="22">
        <f t="shared" si="19"/>
        <v>0</v>
      </c>
      <c r="S37" s="22">
        <f t="shared" si="19"/>
        <v>0</v>
      </c>
      <c r="T37" s="22">
        <f t="shared" si="19"/>
        <v>0</v>
      </c>
      <c r="U37" s="40">
        <f t="shared" si="19"/>
        <v>0</v>
      </c>
    </row>
    <row r="38" spans="1:21" ht="19.95" customHeight="1" x14ac:dyDescent="0.3">
      <c r="A38" s="55"/>
      <c r="B38" s="23"/>
      <c r="C38" s="24">
        <v>64051</v>
      </c>
      <c r="D38" s="25" t="s">
        <v>70</v>
      </c>
      <c r="E38" s="43"/>
      <c r="F38" s="27"/>
      <c r="G38" s="27"/>
      <c r="H38" s="44"/>
      <c r="I38" s="49">
        <f>H38*Subsector!$S$11</f>
        <v>0</v>
      </c>
      <c r="J38" s="26">
        <f>H38*Subsector!$S$12</f>
        <v>0</v>
      </c>
      <c r="K38" s="26">
        <f>H38*Subsector!$S$13</f>
        <v>0</v>
      </c>
      <c r="L38" s="26">
        <f>H38*Subsector!$S$15</f>
        <v>0</v>
      </c>
      <c r="M38" s="26">
        <f>H38*Subsector!$S$16</f>
        <v>0</v>
      </c>
      <c r="N38" s="66">
        <f>H38*Subsector!$S$17</f>
        <v>0</v>
      </c>
      <c r="O38" s="41">
        <f t="shared" ref="O38:P44" si="20">ROUNDUP(SUM(E38,I38),1)</f>
        <v>0</v>
      </c>
      <c r="P38" s="26">
        <f t="shared" si="20"/>
        <v>0</v>
      </c>
      <c r="Q38" s="26">
        <f t="shared" ref="Q38:Q44" si="21">ROUNDUP(SUM(K38),1)</f>
        <v>0</v>
      </c>
      <c r="R38" s="26">
        <f t="shared" ref="R38:R44" si="22">ROUNDUP(SUM(G38,L38),1)</f>
        <v>0</v>
      </c>
      <c r="S38" s="26">
        <f t="shared" ref="S38:T44" si="23">ROUNDUP(SUM(M38),1)</f>
        <v>0</v>
      </c>
      <c r="T38" s="26">
        <f t="shared" si="23"/>
        <v>0</v>
      </c>
      <c r="U38" s="42">
        <f t="shared" ref="U38:U44" si="24">SUM(O38:T38)</f>
        <v>0</v>
      </c>
    </row>
    <row r="39" spans="1:21" ht="19.95" customHeight="1" x14ac:dyDescent="0.3">
      <c r="A39" s="55"/>
      <c r="B39" s="24"/>
      <c r="C39" s="24">
        <v>64052</v>
      </c>
      <c r="D39" s="25" t="s">
        <v>71</v>
      </c>
      <c r="E39" s="43"/>
      <c r="F39" s="27"/>
      <c r="G39" s="27"/>
      <c r="H39" s="44"/>
      <c r="I39" s="49">
        <f>H39*Subsector!$S$11</f>
        <v>0</v>
      </c>
      <c r="J39" s="26">
        <f>H39*Subsector!$S$12</f>
        <v>0</v>
      </c>
      <c r="K39" s="26">
        <f>H39*Subsector!$S$13</f>
        <v>0</v>
      </c>
      <c r="L39" s="26">
        <f>H39*Subsector!$S$15</f>
        <v>0</v>
      </c>
      <c r="M39" s="26">
        <f>H39*Subsector!$S$16</f>
        <v>0</v>
      </c>
      <c r="N39" s="66">
        <f>H39*Subsector!$S$17</f>
        <v>0</v>
      </c>
      <c r="O39" s="41">
        <f t="shared" si="20"/>
        <v>0</v>
      </c>
      <c r="P39" s="26">
        <f t="shared" si="20"/>
        <v>0</v>
      </c>
      <c r="Q39" s="26">
        <f t="shared" si="21"/>
        <v>0</v>
      </c>
      <c r="R39" s="26">
        <f t="shared" si="22"/>
        <v>0</v>
      </c>
      <c r="S39" s="26">
        <f t="shared" si="23"/>
        <v>0</v>
      </c>
      <c r="T39" s="26">
        <f t="shared" si="23"/>
        <v>0</v>
      </c>
      <c r="U39" s="42">
        <f t="shared" si="24"/>
        <v>0</v>
      </c>
    </row>
    <row r="40" spans="1:21" ht="19.95" customHeight="1" x14ac:dyDescent="0.3">
      <c r="A40" s="55"/>
      <c r="B40" s="24"/>
      <c r="C40" s="24">
        <v>64053</v>
      </c>
      <c r="D40" s="25" t="s">
        <v>72</v>
      </c>
      <c r="E40" s="43"/>
      <c r="F40" s="27"/>
      <c r="G40" s="27"/>
      <c r="H40" s="44"/>
      <c r="I40" s="49">
        <f>H40*Subsector!$S$11</f>
        <v>0</v>
      </c>
      <c r="J40" s="26">
        <f>H40*Subsector!$S$12</f>
        <v>0</v>
      </c>
      <c r="K40" s="26">
        <f>H40*Subsector!$S$13</f>
        <v>0</v>
      </c>
      <c r="L40" s="26">
        <f>H40*Subsector!$S$15</f>
        <v>0</v>
      </c>
      <c r="M40" s="26">
        <f>H40*Subsector!$S$16</f>
        <v>0</v>
      </c>
      <c r="N40" s="66">
        <f>H40*Subsector!$S$17</f>
        <v>0</v>
      </c>
      <c r="O40" s="41">
        <f t="shared" si="20"/>
        <v>0</v>
      </c>
      <c r="P40" s="26">
        <f t="shared" si="20"/>
        <v>0</v>
      </c>
      <c r="Q40" s="26">
        <f t="shared" si="21"/>
        <v>0</v>
      </c>
      <c r="R40" s="26">
        <f t="shared" si="22"/>
        <v>0</v>
      </c>
      <c r="S40" s="26">
        <f t="shared" si="23"/>
        <v>0</v>
      </c>
      <c r="T40" s="26">
        <f t="shared" si="23"/>
        <v>0</v>
      </c>
      <c r="U40" s="42">
        <f t="shared" si="24"/>
        <v>0</v>
      </c>
    </row>
    <row r="41" spans="1:21" ht="19.95" customHeight="1" x14ac:dyDescent="0.3">
      <c r="A41" s="55"/>
      <c r="B41" s="24"/>
      <c r="C41" s="24">
        <v>64054</v>
      </c>
      <c r="D41" s="25" t="s">
        <v>73</v>
      </c>
      <c r="E41" s="43"/>
      <c r="F41" s="27"/>
      <c r="G41" s="27"/>
      <c r="H41" s="44"/>
      <c r="I41" s="49">
        <f>H41*Subsector!$S$11</f>
        <v>0</v>
      </c>
      <c r="J41" s="26">
        <f>H41*Subsector!$S$12</f>
        <v>0</v>
      </c>
      <c r="K41" s="26">
        <f>H41*Subsector!$S$13</f>
        <v>0</v>
      </c>
      <c r="L41" s="26">
        <f>H41*Subsector!$S$15</f>
        <v>0</v>
      </c>
      <c r="M41" s="26">
        <f>H41*Subsector!$S$16</f>
        <v>0</v>
      </c>
      <c r="N41" s="66">
        <f>H41*Subsector!$S$17</f>
        <v>0</v>
      </c>
      <c r="O41" s="41">
        <f t="shared" si="20"/>
        <v>0</v>
      </c>
      <c r="P41" s="26">
        <f t="shared" si="20"/>
        <v>0</v>
      </c>
      <c r="Q41" s="26">
        <f t="shared" si="21"/>
        <v>0</v>
      </c>
      <c r="R41" s="26">
        <f t="shared" si="22"/>
        <v>0</v>
      </c>
      <c r="S41" s="26">
        <f t="shared" si="23"/>
        <v>0</v>
      </c>
      <c r="T41" s="26">
        <f t="shared" si="23"/>
        <v>0</v>
      </c>
      <c r="U41" s="42">
        <f t="shared" si="24"/>
        <v>0</v>
      </c>
    </row>
    <row r="42" spans="1:21" ht="19.95" customHeight="1" x14ac:dyDescent="0.3">
      <c r="A42" s="55"/>
      <c r="B42" s="24"/>
      <c r="C42" s="24">
        <v>64055</v>
      </c>
      <c r="D42" s="25" t="s">
        <v>74</v>
      </c>
      <c r="E42" s="43"/>
      <c r="F42" s="27"/>
      <c r="G42" s="27"/>
      <c r="H42" s="44"/>
      <c r="I42" s="49">
        <f>H42*Subsector!$S$11</f>
        <v>0</v>
      </c>
      <c r="J42" s="26">
        <f>H42*Subsector!$S$12</f>
        <v>0</v>
      </c>
      <c r="K42" s="26">
        <f>H42*Subsector!$S$13</f>
        <v>0</v>
      </c>
      <c r="L42" s="26">
        <f>H42*Subsector!$S$15</f>
        <v>0</v>
      </c>
      <c r="M42" s="26">
        <f>H42*Subsector!$S$16</f>
        <v>0</v>
      </c>
      <c r="N42" s="66">
        <f>H42*Subsector!$S$17</f>
        <v>0</v>
      </c>
      <c r="O42" s="41">
        <f t="shared" si="20"/>
        <v>0</v>
      </c>
      <c r="P42" s="26">
        <f t="shared" si="20"/>
        <v>0</v>
      </c>
      <c r="Q42" s="26">
        <f t="shared" si="21"/>
        <v>0</v>
      </c>
      <c r="R42" s="26">
        <f t="shared" si="22"/>
        <v>0</v>
      </c>
      <c r="S42" s="26">
        <f t="shared" si="23"/>
        <v>0</v>
      </c>
      <c r="T42" s="26">
        <f t="shared" si="23"/>
        <v>0</v>
      </c>
      <c r="U42" s="42">
        <f t="shared" si="24"/>
        <v>0</v>
      </c>
    </row>
    <row r="43" spans="1:21" ht="19.95" customHeight="1" x14ac:dyDescent="0.3">
      <c r="A43" s="55"/>
      <c r="B43" s="24"/>
      <c r="C43" s="24">
        <v>64056</v>
      </c>
      <c r="D43" s="25" t="s">
        <v>75</v>
      </c>
      <c r="E43" s="43"/>
      <c r="F43" s="27"/>
      <c r="G43" s="27"/>
      <c r="H43" s="44"/>
      <c r="I43" s="49">
        <f>H43*Subsector!$S$11</f>
        <v>0</v>
      </c>
      <c r="J43" s="26">
        <f>H43*Subsector!$S$12</f>
        <v>0</v>
      </c>
      <c r="K43" s="26">
        <f>H43*Subsector!$S$13</f>
        <v>0</v>
      </c>
      <c r="L43" s="26">
        <f>H43*Subsector!$S$15</f>
        <v>0</v>
      </c>
      <c r="M43" s="26">
        <f>H43*Subsector!$S$16</f>
        <v>0</v>
      </c>
      <c r="N43" s="66">
        <f>H43*Subsector!$S$17</f>
        <v>0</v>
      </c>
      <c r="O43" s="41">
        <f t="shared" si="20"/>
        <v>0</v>
      </c>
      <c r="P43" s="26">
        <f t="shared" si="20"/>
        <v>0</v>
      </c>
      <c r="Q43" s="26">
        <f t="shared" si="21"/>
        <v>0</v>
      </c>
      <c r="R43" s="26">
        <f t="shared" si="22"/>
        <v>0</v>
      </c>
      <c r="S43" s="26">
        <f t="shared" si="23"/>
        <v>0</v>
      </c>
      <c r="T43" s="26">
        <f t="shared" si="23"/>
        <v>0</v>
      </c>
      <c r="U43" s="42">
        <f t="shared" si="24"/>
        <v>0</v>
      </c>
    </row>
    <row r="44" spans="1:21" ht="19.95" customHeight="1" x14ac:dyDescent="0.3">
      <c r="A44" s="55"/>
      <c r="B44" s="24"/>
      <c r="C44" s="24">
        <v>64058</v>
      </c>
      <c r="D44" s="25" t="s">
        <v>76</v>
      </c>
      <c r="E44" s="43"/>
      <c r="F44" s="27"/>
      <c r="G44" s="27"/>
      <c r="H44" s="44"/>
      <c r="I44" s="49">
        <f>H44*Subsector!$S$11</f>
        <v>0</v>
      </c>
      <c r="J44" s="26">
        <f>H44*Subsector!$S$12</f>
        <v>0</v>
      </c>
      <c r="K44" s="26">
        <f>H44*Subsector!$S$13</f>
        <v>0</v>
      </c>
      <c r="L44" s="26">
        <f>H44*Subsector!$S$15</f>
        <v>0</v>
      </c>
      <c r="M44" s="26">
        <f>H44*Subsector!$S$16</f>
        <v>0</v>
      </c>
      <c r="N44" s="66">
        <f>H44*Subsector!$S$17</f>
        <v>0</v>
      </c>
      <c r="O44" s="41">
        <f t="shared" si="20"/>
        <v>0</v>
      </c>
      <c r="P44" s="26">
        <f t="shared" si="20"/>
        <v>0</v>
      </c>
      <c r="Q44" s="26">
        <f t="shared" si="21"/>
        <v>0</v>
      </c>
      <c r="R44" s="26">
        <f t="shared" si="22"/>
        <v>0</v>
      </c>
      <c r="S44" s="26">
        <f t="shared" si="23"/>
        <v>0</v>
      </c>
      <c r="T44" s="26">
        <f t="shared" si="23"/>
        <v>0</v>
      </c>
      <c r="U44" s="42">
        <f t="shared" si="24"/>
        <v>0</v>
      </c>
    </row>
    <row r="45" spans="1:21" ht="19.95" customHeight="1" x14ac:dyDescent="0.3">
      <c r="A45" s="54"/>
      <c r="B45" s="28">
        <v>6406</v>
      </c>
      <c r="C45" s="23"/>
      <c r="D45" s="21" t="s">
        <v>77</v>
      </c>
      <c r="E45" s="39">
        <f>SUM(E46:E49)</f>
        <v>0</v>
      </c>
      <c r="F45" s="22">
        <f t="shared" ref="F45:U45" si="25">SUM(F46:F49)</f>
        <v>0</v>
      </c>
      <c r="G45" s="22">
        <f t="shared" si="25"/>
        <v>0</v>
      </c>
      <c r="H45" s="40">
        <f t="shared" si="25"/>
        <v>0</v>
      </c>
      <c r="I45" s="36">
        <f t="shared" si="25"/>
        <v>0</v>
      </c>
      <c r="J45" s="22">
        <f t="shared" si="25"/>
        <v>0</v>
      </c>
      <c r="K45" s="22">
        <f t="shared" si="25"/>
        <v>0</v>
      </c>
      <c r="L45" s="22">
        <f t="shared" si="25"/>
        <v>0</v>
      </c>
      <c r="M45" s="22">
        <f t="shared" si="25"/>
        <v>0</v>
      </c>
      <c r="N45" s="65">
        <f t="shared" si="25"/>
        <v>0</v>
      </c>
      <c r="O45" s="39">
        <f t="shared" si="25"/>
        <v>0</v>
      </c>
      <c r="P45" s="22">
        <f t="shared" si="25"/>
        <v>0</v>
      </c>
      <c r="Q45" s="22">
        <f t="shared" si="25"/>
        <v>0</v>
      </c>
      <c r="R45" s="22">
        <f t="shared" si="25"/>
        <v>0</v>
      </c>
      <c r="S45" s="22">
        <f t="shared" si="25"/>
        <v>0</v>
      </c>
      <c r="T45" s="22">
        <f t="shared" si="25"/>
        <v>0</v>
      </c>
      <c r="U45" s="40">
        <f t="shared" si="25"/>
        <v>0</v>
      </c>
    </row>
    <row r="46" spans="1:21" ht="19.95" customHeight="1" x14ac:dyDescent="0.3">
      <c r="A46" s="55"/>
      <c r="B46" s="28"/>
      <c r="C46" s="24">
        <v>64061</v>
      </c>
      <c r="D46" s="25" t="s">
        <v>78</v>
      </c>
      <c r="E46" s="43"/>
      <c r="F46" s="27"/>
      <c r="G46" s="27"/>
      <c r="H46" s="44"/>
      <c r="I46" s="49">
        <f>H46*Subsector!$S$11</f>
        <v>0</v>
      </c>
      <c r="J46" s="26">
        <f>H46*Subsector!$S$12</f>
        <v>0</v>
      </c>
      <c r="K46" s="26">
        <f>H46*Subsector!$S$13</f>
        <v>0</v>
      </c>
      <c r="L46" s="26">
        <f>H46*Subsector!$S$15</f>
        <v>0</v>
      </c>
      <c r="M46" s="26">
        <f>H46*Subsector!$S$16</f>
        <v>0</v>
      </c>
      <c r="N46" s="66">
        <f>H46*Subsector!$S$17</f>
        <v>0</v>
      </c>
      <c r="O46" s="41">
        <f t="shared" ref="O46:P49" si="26">ROUNDUP(SUM(E46,I46),1)</f>
        <v>0</v>
      </c>
      <c r="P46" s="26">
        <f t="shared" si="26"/>
        <v>0</v>
      </c>
      <c r="Q46" s="26">
        <f>ROUNDUP(SUM(K46),1)</f>
        <v>0</v>
      </c>
      <c r="R46" s="26">
        <f>ROUNDUP(SUM(G46,L46),1)</f>
        <v>0</v>
      </c>
      <c r="S46" s="26">
        <f t="shared" ref="S46:T49" si="27">ROUNDUP(SUM(M46),1)</f>
        <v>0</v>
      </c>
      <c r="T46" s="26">
        <f t="shared" si="27"/>
        <v>0</v>
      </c>
      <c r="U46" s="42">
        <f>SUM(O46:T46)</f>
        <v>0</v>
      </c>
    </row>
    <row r="47" spans="1:21" ht="19.95" customHeight="1" x14ac:dyDescent="0.3">
      <c r="A47" s="55"/>
      <c r="B47" s="28"/>
      <c r="C47" s="24">
        <v>64063</v>
      </c>
      <c r="D47" s="25" t="s">
        <v>79</v>
      </c>
      <c r="E47" s="43"/>
      <c r="F47" s="27"/>
      <c r="G47" s="27"/>
      <c r="H47" s="44"/>
      <c r="I47" s="49">
        <f>H47*Subsector!$S$11</f>
        <v>0</v>
      </c>
      <c r="J47" s="26">
        <f>H47*Subsector!$S$12</f>
        <v>0</v>
      </c>
      <c r="K47" s="26">
        <f>H47*Subsector!$S$13</f>
        <v>0</v>
      </c>
      <c r="L47" s="26">
        <f>H47*Subsector!$S$15</f>
        <v>0</v>
      </c>
      <c r="M47" s="26">
        <f>H47*Subsector!$S$16</f>
        <v>0</v>
      </c>
      <c r="N47" s="66">
        <f>H47*Subsector!$S$17</f>
        <v>0</v>
      </c>
      <c r="O47" s="41">
        <f t="shared" si="26"/>
        <v>0</v>
      </c>
      <c r="P47" s="26">
        <f t="shared" si="26"/>
        <v>0</v>
      </c>
      <c r="Q47" s="26">
        <f>ROUNDUP(SUM(K47),1)</f>
        <v>0</v>
      </c>
      <c r="R47" s="26">
        <f>ROUNDUP(SUM(G47,L47),1)</f>
        <v>0</v>
      </c>
      <c r="S47" s="26">
        <f t="shared" si="27"/>
        <v>0</v>
      </c>
      <c r="T47" s="26">
        <f t="shared" si="27"/>
        <v>0</v>
      </c>
      <c r="U47" s="42">
        <f>SUM(O47:T47)</f>
        <v>0</v>
      </c>
    </row>
    <row r="48" spans="1:21" ht="19.95" customHeight="1" x14ac:dyDescent="0.3">
      <c r="A48" s="55"/>
      <c r="B48" s="24"/>
      <c r="C48" s="24">
        <v>64064</v>
      </c>
      <c r="D48" s="25" t="s">
        <v>80</v>
      </c>
      <c r="E48" s="43"/>
      <c r="F48" s="27"/>
      <c r="G48" s="27"/>
      <c r="H48" s="44"/>
      <c r="I48" s="49">
        <f>H48*Subsector!$S$11</f>
        <v>0</v>
      </c>
      <c r="J48" s="26">
        <f>H48*Subsector!$S$12</f>
        <v>0</v>
      </c>
      <c r="K48" s="26">
        <f>H48*Subsector!$S$13</f>
        <v>0</v>
      </c>
      <c r="L48" s="26">
        <f>H48*Subsector!$S$15</f>
        <v>0</v>
      </c>
      <c r="M48" s="26">
        <f>H48*Subsector!$S$16</f>
        <v>0</v>
      </c>
      <c r="N48" s="66">
        <f>H48*Subsector!$S$17</f>
        <v>0</v>
      </c>
      <c r="O48" s="41">
        <f t="shared" si="26"/>
        <v>0</v>
      </c>
      <c r="P48" s="26">
        <f t="shared" si="26"/>
        <v>0</v>
      </c>
      <c r="Q48" s="26">
        <f>ROUNDUP(SUM(K48),1)</f>
        <v>0</v>
      </c>
      <c r="R48" s="26">
        <f>ROUNDUP(SUM(G48,L48),1)</f>
        <v>0</v>
      </c>
      <c r="S48" s="26">
        <f t="shared" si="27"/>
        <v>0</v>
      </c>
      <c r="T48" s="26">
        <f t="shared" si="27"/>
        <v>0</v>
      </c>
      <c r="U48" s="42">
        <f>SUM(O48:T48)</f>
        <v>0</v>
      </c>
    </row>
    <row r="49" spans="1:21" ht="19.95" customHeight="1" x14ac:dyDescent="0.3">
      <c r="A49" s="55"/>
      <c r="B49" s="24"/>
      <c r="C49" s="24">
        <v>64068</v>
      </c>
      <c r="D49" s="25" t="s">
        <v>81</v>
      </c>
      <c r="E49" s="43"/>
      <c r="F49" s="27"/>
      <c r="G49" s="27"/>
      <c r="H49" s="44"/>
      <c r="I49" s="49">
        <f>H49*Subsector!$S$11</f>
        <v>0</v>
      </c>
      <c r="J49" s="26">
        <f>H49*Subsector!$S$12</f>
        <v>0</v>
      </c>
      <c r="K49" s="26">
        <f>H49*Subsector!$S$13</f>
        <v>0</v>
      </c>
      <c r="L49" s="26">
        <f>H49*Subsector!$S$15</f>
        <v>0</v>
      </c>
      <c r="M49" s="26">
        <f>H49*Subsector!$S$16</f>
        <v>0</v>
      </c>
      <c r="N49" s="66">
        <f>H49*Subsector!$S$17</f>
        <v>0</v>
      </c>
      <c r="O49" s="41">
        <f t="shared" si="26"/>
        <v>0</v>
      </c>
      <c r="P49" s="26">
        <f t="shared" si="26"/>
        <v>0</v>
      </c>
      <c r="Q49" s="26">
        <f>ROUNDUP(SUM(K49),1)</f>
        <v>0</v>
      </c>
      <c r="R49" s="26">
        <f>ROUNDUP(SUM(G49,L49),1)</f>
        <v>0</v>
      </c>
      <c r="S49" s="26">
        <f t="shared" si="27"/>
        <v>0</v>
      </c>
      <c r="T49" s="26">
        <f t="shared" si="27"/>
        <v>0</v>
      </c>
      <c r="U49" s="42">
        <f>SUM(O49:T49)</f>
        <v>0</v>
      </c>
    </row>
    <row r="50" spans="1:21" ht="19.95" customHeight="1" x14ac:dyDescent="0.3">
      <c r="A50" s="51"/>
      <c r="B50" s="28">
        <v>6407</v>
      </c>
      <c r="C50" s="28"/>
      <c r="D50" s="29" t="s">
        <v>82</v>
      </c>
      <c r="E50" s="39">
        <f>SUM(E51:E58)</f>
        <v>0</v>
      </c>
      <c r="F50" s="22">
        <f t="shared" ref="F50:U50" si="28">SUM(F51:F58)</f>
        <v>0</v>
      </c>
      <c r="G50" s="22">
        <f t="shared" si="28"/>
        <v>0</v>
      </c>
      <c r="H50" s="40">
        <f t="shared" si="28"/>
        <v>0</v>
      </c>
      <c r="I50" s="36">
        <f t="shared" si="28"/>
        <v>0</v>
      </c>
      <c r="J50" s="22">
        <f t="shared" si="28"/>
        <v>0</v>
      </c>
      <c r="K50" s="22">
        <f t="shared" si="28"/>
        <v>0</v>
      </c>
      <c r="L50" s="22">
        <f t="shared" si="28"/>
        <v>0</v>
      </c>
      <c r="M50" s="22">
        <f t="shared" si="28"/>
        <v>0</v>
      </c>
      <c r="N50" s="65">
        <f t="shared" si="28"/>
        <v>0</v>
      </c>
      <c r="O50" s="39">
        <f t="shared" si="28"/>
        <v>0</v>
      </c>
      <c r="P50" s="22">
        <f t="shared" si="28"/>
        <v>0</v>
      </c>
      <c r="Q50" s="22">
        <f t="shared" si="28"/>
        <v>0</v>
      </c>
      <c r="R50" s="22">
        <f t="shared" si="28"/>
        <v>0</v>
      </c>
      <c r="S50" s="22">
        <f t="shared" si="28"/>
        <v>0</v>
      </c>
      <c r="T50" s="22">
        <f t="shared" si="28"/>
        <v>0</v>
      </c>
      <c r="U50" s="40">
        <f t="shared" si="28"/>
        <v>0</v>
      </c>
    </row>
    <row r="51" spans="1:21" ht="19.95" customHeight="1" x14ac:dyDescent="0.3">
      <c r="A51" s="52"/>
      <c r="B51" s="28"/>
      <c r="C51" s="30">
        <v>64071</v>
      </c>
      <c r="D51" s="31" t="s">
        <v>83</v>
      </c>
      <c r="E51" s="43"/>
      <c r="F51" s="27"/>
      <c r="G51" s="27"/>
      <c r="H51" s="44"/>
      <c r="I51" s="49">
        <f>H51*Subsector!$S$11</f>
        <v>0</v>
      </c>
      <c r="J51" s="26">
        <f>H51*Subsector!$S$12</f>
        <v>0</v>
      </c>
      <c r="K51" s="26">
        <f>H51*Subsector!$S$13</f>
        <v>0</v>
      </c>
      <c r="L51" s="26">
        <f>H51*Subsector!$S$15</f>
        <v>0</v>
      </c>
      <c r="M51" s="26">
        <f>H51*Subsector!$S$16</f>
        <v>0</v>
      </c>
      <c r="N51" s="66">
        <f>H51*Subsector!$S$17</f>
        <v>0</v>
      </c>
      <c r="O51" s="41">
        <f t="shared" ref="O51:P58" si="29">ROUNDUP(SUM(E51,I51),1)</f>
        <v>0</v>
      </c>
      <c r="P51" s="26">
        <f t="shared" si="29"/>
        <v>0</v>
      </c>
      <c r="Q51" s="26">
        <f t="shared" ref="Q51:Q58" si="30">ROUNDUP(SUM(K51),1)</f>
        <v>0</v>
      </c>
      <c r="R51" s="26">
        <f t="shared" ref="R51:R58" si="31">ROUNDUP(SUM(G51,L51),1)</f>
        <v>0</v>
      </c>
      <c r="S51" s="26">
        <f t="shared" ref="S51:T58" si="32">ROUNDUP(SUM(M51),1)</f>
        <v>0</v>
      </c>
      <c r="T51" s="26">
        <f t="shared" si="32"/>
        <v>0</v>
      </c>
      <c r="U51" s="42">
        <f t="shared" ref="U51:U58" si="33">SUM(O51:T51)</f>
        <v>0</v>
      </c>
    </row>
    <row r="52" spans="1:21" ht="19.95" customHeight="1" x14ac:dyDescent="0.3">
      <c r="A52" s="52"/>
      <c r="B52" s="28"/>
      <c r="C52" s="30">
        <v>64072</v>
      </c>
      <c r="D52" s="31" t="s">
        <v>84</v>
      </c>
      <c r="E52" s="43"/>
      <c r="F52" s="27"/>
      <c r="G52" s="27"/>
      <c r="H52" s="44"/>
      <c r="I52" s="49">
        <f>H52*Subsector!$S$11</f>
        <v>0</v>
      </c>
      <c r="J52" s="26">
        <f>H52*Subsector!$S$12</f>
        <v>0</v>
      </c>
      <c r="K52" s="26">
        <f>H52*Subsector!$S$13</f>
        <v>0</v>
      </c>
      <c r="L52" s="26">
        <f>H52*Subsector!$S$15</f>
        <v>0</v>
      </c>
      <c r="M52" s="26">
        <f>H52*Subsector!$S$16</f>
        <v>0</v>
      </c>
      <c r="N52" s="66">
        <f>H52*Subsector!$S$17</f>
        <v>0</v>
      </c>
      <c r="O52" s="41">
        <f t="shared" si="29"/>
        <v>0</v>
      </c>
      <c r="P52" s="26">
        <f t="shared" si="29"/>
        <v>0</v>
      </c>
      <c r="Q52" s="26">
        <f t="shared" si="30"/>
        <v>0</v>
      </c>
      <c r="R52" s="26">
        <f t="shared" si="31"/>
        <v>0</v>
      </c>
      <c r="S52" s="26">
        <f t="shared" si="32"/>
        <v>0</v>
      </c>
      <c r="T52" s="26">
        <f t="shared" si="32"/>
        <v>0</v>
      </c>
      <c r="U52" s="42">
        <f t="shared" si="33"/>
        <v>0</v>
      </c>
    </row>
    <row r="53" spans="1:21" ht="19.95" customHeight="1" x14ac:dyDescent="0.3">
      <c r="A53" s="52"/>
      <c r="B53" s="28"/>
      <c r="C53" s="30">
        <v>64073</v>
      </c>
      <c r="D53" s="31" t="s">
        <v>85</v>
      </c>
      <c r="E53" s="43"/>
      <c r="F53" s="27"/>
      <c r="G53" s="27"/>
      <c r="H53" s="44"/>
      <c r="I53" s="49">
        <f>H53*Subsector!$S$11</f>
        <v>0</v>
      </c>
      <c r="J53" s="26">
        <f>H53*Subsector!$S$12</f>
        <v>0</v>
      </c>
      <c r="K53" s="26">
        <f>H53*Subsector!$S$13</f>
        <v>0</v>
      </c>
      <c r="L53" s="26">
        <f>H53*Subsector!$S$15</f>
        <v>0</v>
      </c>
      <c r="M53" s="26">
        <f>H53*Subsector!$S$16</f>
        <v>0</v>
      </c>
      <c r="N53" s="66">
        <f>H53*Subsector!$S$17</f>
        <v>0</v>
      </c>
      <c r="O53" s="41">
        <f t="shared" si="29"/>
        <v>0</v>
      </c>
      <c r="P53" s="26">
        <f t="shared" si="29"/>
        <v>0</v>
      </c>
      <c r="Q53" s="26">
        <f t="shared" si="30"/>
        <v>0</v>
      </c>
      <c r="R53" s="26">
        <f t="shared" si="31"/>
        <v>0</v>
      </c>
      <c r="S53" s="26">
        <f t="shared" si="32"/>
        <v>0</v>
      </c>
      <c r="T53" s="26">
        <f t="shared" si="32"/>
        <v>0</v>
      </c>
      <c r="U53" s="42">
        <f t="shared" si="33"/>
        <v>0</v>
      </c>
    </row>
    <row r="54" spans="1:21" ht="19.95" customHeight="1" x14ac:dyDescent="0.3">
      <c r="A54" s="52"/>
      <c r="B54" s="24"/>
      <c r="C54" s="30">
        <v>64074</v>
      </c>
      <c r="D54" s="25" t="s">
        <v>86</v>
      </c>
      <c r="E54" s="43"/>
      <c r="F54" s="27"/>
      <c r="G54" s="27"/>
      <c r="H54" s="44"/>
      <c r="I54" s="49">
        <f>H54*Subsector!$S$11</f>
        <v>0</v>
      </c>
      <c r="J54" s="26">
        <f>H54*Subsector!$S$12</f>
        <v>0</v>
      </c>
      <c r="K54" s="26">
        <f>H54*Subsector!$S$13</f>
        <v>0</v>
      </c>
      <c r="L54" s="26">
        <f>H54*Subsector!$S$15</f>
        <v>0</v>
      </c>
      <c r="M54" s="26">
        <f>H54*Subsector!$S$16</f>
        <v>0</v>
      </c>
      <c r="N54" s="66">
        <f>H54*Subsector!$S$17</f>
        <v>0</v>
      </c>
      <c r="O54" s="41">
        <f t="shared" si="29"/>
        <v>0</v>
      </c>
      <c r="P54" s="26">
        <f t="shared" si="29"/>
        <v>0</v>
      </c>
      <c r="Q54" s="26">
        <f t="shared" si="30"/>
        <v>0</v>
      </c>
      <c r="R54" s="26">
        <f t="shared" si="31"/>
        <v>0</v>
      </c>
      <c r="S54" s="26">
        <f t="shared" si="32"/>
        <v>0</v>
      </c>
      <c r="T54" s="26">
        <f t="shared" si="32"/>
        <v>0</v>
      </c>
      <c r="U54" s="42">
        <f t="shared" si="33"/>
        <v>0</v>
      </c>
    </row>
    <row r="55" spans="1:21" ht="19.95" customHeight="1" x14ac:dyDescent="0.3">
      <c r="A55" s="52"/>
      <c r="B55" s="28"/>
      <c r="C55" s="30">
        <v>64075</v>
      </c>
      <c r="D55" s="31" t="s">
        <v>48</v>
      </c>
      <c r="E55" s="43"/>
      <c r="F55" s="27"/>
      <c r="G55" s="27"/>
      <c r="H55" s="44"/>
      <c r="I55" s="49">
        <f>H55*Subsector!$S$11</f>
        <v>0</v>
      </c>
      <c r="J55" s="26">
        <f>H55*Subsector!$S$12</f>
        <v>0</v>
      </c>
      <c r="K55" s="26">
        <f>H55*Subsector!$S$13</f>
        <v>0</v>
      </c>
      <c r="L55" s="26">
        <f>H55*Subsector!$S$15</f>
        <v>0</v>
      </c>
      <c r="M55" s="26">
        <f>H55*Subsector!$S$16</f>
        <v>0</v>
      </c>
      <c r="N55" s="66">
        <f>H55*Subsector!$S$17</f>
        <v>0</v>
      </c>
      <c r="O55" s="41">
        <f t="shared" si="29"/>
        <v>0</v>
      </c>
      <c r="P55" s="26">
        <f t="shared" si="29"/>
        <v>0</v>
      </c>
      <c r="Q55" s="26">
        <f t="shared" si="30"/>
        <v>0</v>
      </c>
      <c r="R55" s="26">
        <f t="shared" si="31"/>
        <v>0</v>
      </c>
      <c r="S55" s="26">
        <f t="shared" si="32"/>
        <v>0</v>
      </c>
      <c r="T55" s="26">
        <f t="shared" si="32"/>
        <v>0</v>
      </c>
      <c r="U55" s="42">
        <f t="shared" si="33"/>
        <v>0</v>
      </c>
    </row>
    <row r="56" spans="1:21" ht="19.95" customHeight="1" x14ac:dyDescent="0.3">
      <c r="A56" s="52"/>
      <c r="B56" s="28"/>
      <c r="C56" s="30">
        <v>64076</v>
      </c>
      <c r="D56" s="31" t="s">
        <v>49</v>
      </c>
      <c r="E56" s="43"/>
      <c r="F56" s="27"/>
      <c r="G56" s="27"/>
      <c r="H56" s="44"/>
      <c r="I56" s="49">
        <f>H56*Subsector!$S$11</f>
        <v>0</v>
      </c>
      <c r="J56" s="26">
        <f>H56*Subsector!$S$12</f>
        <v>0</v>
      </c>
      <c r="K56" s="26">
        <f>H56*Subsector!$S$13</f>
        <v>0</v>
      </c>
      <c r="L56" s="26">
        <f>H56*Subsector!$S$15</f>
        <v>0</v>
      </c>
      <c r="M56" s="26">
        <f>H56*Subsector!$S$16</f>
        <v>0</v>
      </c>
      <c r="N56" s="66">
        <f>H56*Subsector!$S$17</f>
        <v>0</v>
      </c>
      <c r="O56" s="41">
        <f t="shared" si="29"/>
        <v>0</v>
      </c>
      <c r="P56" s="26">
        <f t="shared" si="29"/>
        <v>0</v>
      </c>
      <c r="Q56" s="26">
        <f t="shared" si="30"/>
        <v>0</v>
      </c>
      <c r="R56" s="26">
        <f t="shared" si="31"/>
        <v>0</v>
      </c>
      <c r="S56" s="26">
        <f t="shared" si="32"/>
        <v>0</v>
      </c>
      <c r="T56" s="26">
        <f t="shared" si="32"/>
        <v>0</v>
      </c>
      <c r="U56" s="42">
        <f t="shared" si="33"/>
        <v>0</v>
      </c>
    </row>
    <row r="57" spans="1:21" ht="19.95" customHeight="1" x14ac:dyDescent="0.3">
      <c r="A57" s="52"/>
      <c r="B57" s="28"/>
      <c r="C57" s="30">
        <v>64077</v>
      </c>
      <c r="D57" s="31" t="s">
        <v>50</v>
      </c>
      <c r="E57" s="43"/>
      <c r="F57" s="27"/>
      <c r="G57" s="27"/>
      <c r="H57" s="44"/>
      <c r="I57" s="49">
        <f>H57*Subsector!$S$11</f>
        <v>0</v>
      </c>
      <c r="J57" s="26">
        <f>H57*Subsector!$S$12</f>
        <v>0</v>
      </c>
      <c r="K57" s="26">
        <f>H57*Subsector!$S$13</f>
        <v>0</v>
      </c>
      <c r="L57" s="26">
        <f>H57*Subsector!$S$15</f>
        <v>0</v>
      </c>
      <c r="M57" s="26">
        <f>H57*Subsector!$S$16</f>
        <v>0</v>
      </c>
      <c r="N57" s="66">
        <f>H57*Subsector!$S$17</f>
        <v>0</v>
      </c>
      <c r="O57" s="41">
        <f t="shared" si="29"/>
        <v>0</v>
      </c>
      <c r="P57" s="26">
        <f t="shared" si="29"/>
        <v>0</v>
      </c>
      <c r="Q57" s="26">
        <f t="shared" si="30"/>
        <v>0</v>
      </c>
      <c r="R57" s="26">
        <f t="shared" si="31"/>
        <v>0</v>
      </c>
      <c r="S57" s="26">
        <f t="shared" si="32"/>
        <v>0</v>
      </c>
      <c r="T57" s="26">
        <f t="shared" si="32"/>
        <v>0</v>
      </c>
      <c r="U57" s="42">
        <f t="shared" si="33"/>
        <v>0</v>
      </c>
    </row>
    <row r="58" spans="1:21" ht="19.95" customHeight="1" x14ac:dyDescent="0.3">
      <c r="A58" s="52"/>
      <c r="B58" s="28"/>
      <c r="C58" s="30">
        <v>64078</v>
      </c>
      <c r="D58" s="31" t="s">
        <v>87</v>
      </c>
      <c r="E58" s="43"/>
      <c r="F58" s="27"/>
      <c r="G58" s="27"/>
      <c r="H58" s="44"/>
      <c r="I58" s="49">
        <f>H58*Subsector!$S$11</f>
        <v>0</v>
      </c>
      <c r="J58" s="26">
        <f>H58*Subsector!$S$12</f>
        <v>0</v>
      </c>
      <c r="K58" s="26">
        <f>H58*Subsector!$S$13</f>
        <v>0</v>
      </c>
      <c r="L58" s="26">
        <f>H58*Subsector!$S$15</f>
        <v>0</v>
      </c>
      <c r="M58" s="26">
        <f>H58*Subsector!$S$16</f>
        <v>0</v>
      </c>
      <c r="N58" s="66">
        <f>H58*Subsector!$S$17</f>
        <v>0</v>
      </c>
      <c r="O58" s="41">
        <f t="shared" si="29"/>
        <v>0</v>
      </c>
      <c r="P58" s="26">
        <f t="shared" si="29"/>
        <v>0</v>
      </c>
      <c r="Q58" s="26">
        <f t="shared" si="30"/>
        <v>0</v>
      </c>
      <c r="R58" s="26">
        <f t="shared" si="31"/>
        <v>0</v>
      </c>
      <c r="S58" s="26">
        <f t="shared" si="32"/>
        <v>0</v>
      </c>
      <c r="T58" s="26">
        <f t="shared" si="32"/>
        <v>0</v>
      </c>
      <c r="U58" s="42">
        <f t="shared" si="33"/>
        <v>0</v>
      </c>
    </row>
    <row r="59" spans="1:21" ht="19.95" customHeight="1" x14ac:dyDescent="0.3">
      <c r="A59" s="51"/>
      <c r="B59" s="28">
        <v>6498</v>
      </c>
      <c r="C59" s="28"/>
      <c r="D59" s="29" t="s">
        <v>88</v>
      </c>
      <c r="E59" s="39">
        <f>SUM(E60)</f>
        <v>0</v>
      </c>
      <c r="F59" s="22">
        <f t="shared" ref="F59:U59" si="34">SUM(F60)</f>
        <v>0</v>
      </c>
      <c r="G59" s="22">
        <f>SUM(G60)</f>
        <v>0</v>
      </c>
      <c r="H59" s="40">
        <f t="shared" si="34"/>
        <v>0</v>
      </c>
      <c r="I59" s="36">
        <f t="shared" si="34"/>
        <v>0</v>
      </c>
      <c r="J59" s="22">
        <f t="shared" si="34"/>
        <v>0</v>
      </c>
      <c r="K59" s="22">
        <f t="shared" si="34"/>
        <v>0</v>
      </c>
      <c r="L59" s="22">
        <f t="shared" si="34"/>
        <v>0</v>
      </c>
      <c r="M59" s="22">
        <f t="shared" si="34"/>
        <v>0</v>
      </c>
      <c r="N59" s="65">
        <f t="shared" si="34"/>
        <v>0</v>
      </c>
      <c r="O59" s="39">
        <f t="shared" si="34"/>
        <v>0</v>
      </c>
      <c r="P59" s="22">
        <f t="shared" si="34"/>
        <v>0</v>
      </c>
      <c r="Q59" s="22">
        <f t="shared" si="34"/>
        <v>0</v>
      </c>
      <c r="R59" s="22">
        <f t="shared" si="34"/>
        <v>0</v>
      </c>
      <c r="S59" s="22">
        <f t="shared" si="34"/>
        <v>0</v>
      </c>
      <c r="T59" s="22">
        <f t="shared" si="34"/>
        <v>0</v>
      </c>
      <c r="U59" s="40">
        <f t="shared" si="34"/>
        <v>0</v>
      </c>
    </row>
    <row r="60" spans="1:21" ht="19.95" customHeight="1" thickBot="1" x14ac:dyDescent="0.35">
      <c r="A60" s="56"/>
      <c r="B60" s="57"/>
      <c r="C60" s="58">
        <v>64981</v>
      </c>
      <c r="D60" s="59" t="s">
        <v>88</v>
      </c>
      <c r="E60" s="68"/>
      <c r="F60" s="69"/>
      <c r="G60" s="69"/>
      <c r="H60" s="70"/>
      <c r="I60" s="63">
        <f>H60*Subsector!$S$11</f>
        <v>0</v>
      </c>
      <c r="J60" s="61">
        <f>H60*Subsector!$S$12</f>
        <v>0</v>
      </c>
      <c r="K60" s="61">
        <f>H60*Subsector!$S$13</f>
        <v>0</v>
      </c>
      <c r="L60" s="61">
        <f>H60*Subsector!$S$15</f>
        <v>0</v>
      </c>
      <c r="M60" s="61">
        <f>H60*Subsector!$S$16</f>
        <v>0</v>
      </c>
      <c r="N60" s="67">
        <f>H60*Subsector!$S$17</f>
        <v>0</v>
      </c>
      <c r="O60" s="60">
        <f>ROUNDUP(SUM(E60,I60),1)</f>
        <v>0</v>
      </c>
      <c r="P60" s="61">
        <f>ROUNDUP(SUM(F60,J60),1)</f>
        <v>0</v>
      </c>
      <c r="Q60" s="61">
        <f>ROUNDUP(SUM(K60),1)</f>
        <v>0</v>
      </c>
      <c r="R60" s="61">
        <f>ROUNDUP(SUM(G60,L60),1)</f>
        <v>0</v>
      </c>
      <c r="S60" s="61">
        <f>ROUNDUP(SUM(M60),1)</f>
        <v>0</v>
      </c>
      <c r="T60" s="61">
        <f>ROUNDUP(SUM(N60),1)</f>
        <v>0</v>
      </c>
      <c r="U60" s="62">
        <f>SUM(O60:T60)</f>
        <v>0</v>
      </c>
    </row>
  </sheetData>
  <sheetProtection algorithmName="SHA-512" hashValue="ItGVKtQodp6HFliDjbhP50OwMtgQR3n3lLh8Qm2748cJTz4KrvFoZC1IK6zyP8jXaEOXyabpR2tHQSpRyyV6OA==" saltValue="U9z5Skzp/egyWr+1i9ngbg==" spinCount="100000" sheet="1" formatCells="0" formatColumns="0" formatRows="0" sort="0" autoFilter="0" pivotTables="0"/>
  <mergeCells count="8">
    <mergeCell ref="A3:U3"/>
    <mergeCell ref="A5:A7"/>
    <mergeCell ref="B5:B7"/>
    <mergeCell ref="C5:C7"/>
    <mergeCell ref="D5:D7"/>
    <mergeCell ref="E5:H5"/>
    <mergeCell ref="I5:N6"/>
    <mergeCell ref="O5:U6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9FD0E-2F48-46B2-B198-4B047B1AF42D}">
  <sheetPr codeName="Sheet12"/>
  <dimension ref="A1:U60"/>
  <sheetViews>
    <sheetView topLeftCell="A3" zoomScale="70" zoomScaleNormal="70" workbookViewId="0">
      <selection activeCell="G11" sqref="G11"/>
    </sheetView>
  </sheetViews>
  <sheetFormatPr defaultRowHeight="14.4" x14ac:dyDescent="0.3"/>
  <cols>
    <col min="1" max="1" width="6" customWidth="1"/>
    <col min="2" max="2" width="6.5546875" customWidth="1"/>
    <col min="3" max="3" width="9.44140625" customWidth="1"/>
    <col min="4" max="4" width="48.77734375" customWidth="1"/>
    <col min="5" max="9" width="8.21875" customWidth="1"/>
    <col min="10" max="21" width="8.77734375" customWidth="1"/>
  </cols>
  <sheetData>
    <row r="1" spans="1:21" ht="21.45" customHeight="1" x14ac:dyDescent="0.3"/>
    <row r="2" spans="1:21" ht="21.45" customHeight="1" x14ac:dyDescent="0.3"/>
    <row r="3" spans="1:21" ht="36.450000000000003" customHeight="1" x14ac:dyDescent="0.3">
      <c r="A3" s="108" t="s">
        <v>98</v>
      </c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</row>
    <row r="4" spans="1:21" ht="21.45" customHeight="1" thickBot="1" x14ac:dyDescent="0.35"/>
    <row r="5" spans="1:21" ht="43.5" customHeight="1" x14ac:dyDescent="0.3">
      <c r="A5" s="123" t="s">
        <v>39</v>
      </c>
      <c r="B5" s="121" t="s">
        <v>40</v>
      </c>
      <c r="C5" s="121" t="s">
        <v>41</v>
      </c>
      <c r="D5" s="119" t="s">
        <v>42</v>
      </c>
      <c r="E5" s="125" t="s">
        <v>99</v>
      </c>
      <c r="F5" s="126"/>
      <c r="G5" s="126"/>
      <c r="H5" s="127"/>
      <c r="I5" s="140" t="s">
        <v>94</v>
      </c>
      <c r="J5" s="141"/>
      <c r="K5" s="141"/>
      <c r="L5" s="141"/>
      <c r="M5" s="141"/>
      <c r="N5" s="142"/>
      <c r="O5" s="134" t="s">
        <v>95</v>
      </c>
      <c r="P5" s="135"/>
      <c r="Q5" s="135"/>
      <c r="R5" s="135"/>
      <c r="S5" s="135"/>
      <c r="T5" s="135"/>
      <c r="U5" s="136"/>
    </row>
    <row r="6" spans="1:21" ht="43.05" customHeight="1" x14ac:dyDescent="0.8">
      <c r="A6" s="124"/>
      <c r="B6" s="122"/>
      <c r="C6" s="122"/>
      <c r="D6" s="120"/>
      <c r="E6" s="45"/>
      <c r="F6" s="46"/>
      <c r="G6" s="46"/>
      <c r="H6" s="47"/>
      <c r="I6" s="143"/>
      <c r="J6" s="144"/>
      <c r="K6" s="144"/>
      <c r="L6" s="144"/>
      <c r="M6" s="144"/>
      <c r="N6" s="145"/>
      <c r="O6" s="137"/>
      <c r="P6" s="138"/>
      <c r="Q6" s="138"/>
      <c r="R6" s="138"/>
      <c r="S6" s="138"/>
      <c r="T6" s="138"/>
      <c r="U6" s="139"/>
    </row>
    <row r="7" spans="1:21" ht="132.44999999999999" customHeight="1" x14ac:dyDescent="0.3">
      <c r="A7" s="124"/>
      <c r="B7" s="122"/>
      <c r="C7" s="122"/>
      <c r="D7" s="120"/>
      <c r="E7" s="78" t="s">
        <v>25</v>
      </c>
      <c r="F7" s="74" t="s">
        <v>26</v>
      </c>
      <c r="G7" s="74" t="s">
        <v>29</v>
      </c>
      <c r="H7" s="79" t="s">
        <v>91</v>
      </c>
      <c r="I7" s="77" t="s">
        <v>25</v>
      </c>
      <c r="J7" s="75" t="s">
        <v>26</v>
      </c>
      <c r="K7" s="75" t="s">
        <v>27</v>
      </c>
      <c r="L7" s="75" t="s">
        <v>29</v>
      </c>
      <c r="M7" s="75" t="s">
        <v>30</v>
      </c>
      <c r="N7" s="80" t="s">
        <v>31</v>
      </c>
      <c r="O7" s="81" t="s">
        <v>25</v>
      </c>
      <c r="P7" s="76" t="s">
        <v>26</v>
      </c>
      <c r="Q7" s="76" t="s">
        <v>27</v>
      </c>
      <c r="R7" s="76" t="s">
        <v>29</v>
      </c>
      <c r="S7" s="76" t="s">
        <v>30</v>
      </c>
      <c r="T7" s="76" t="s">
        <v>31</v>
      </c>
      <c r="U7" s="82" t="s">
        <v>12</v>
      </c>
    </row>
    <row r="8" spans="1:21" ht="19.95" customHeight="1" x14ac:dyDescent="0.3">
      <c r="A8" s="50">
        <v>64</v>
      </c>
      <c r="B8" s="32"/>
      <c r="C8" s="32"/>
      <c r="D8" s="33" t="s">
        <v>43</v>
      </c>
      <c r="E8" s="37">
        <f>SUM(E9,E18,E27,E33,E37,E45,E50,E59)</f>
        <v>0</v>
      </c>
      <c r="F8" s="34">
        <f t="shared" ref="F8:U8" si="0">SUM(F9,F18,F27,F33,F37,F45,F50,F59)</f>
        <v>0</v>
      </c>
      <c r="G8" s="34">
        <f t="shared" si="0"/>
        <v>0</v>
      </c>
      <c r="H8" s="38">
        <f t="shared" si="0"/>
        <v>0</v>
      </c>
      <c r="I8" s="35">
        <f t="shared" si="0"/>
        <v>0</v>
      </c>
      <c r="J8" s="34">
        <f t="shared" si="0"/>
        <v>0</v>
      </c>
      <c r="K8" s="34">
        <f t="shared" si="0"/>
        <v>0</v>
      </c>
      <c r="L8" s="34">
        <f t="shared" si="0"/>
        <v>0</v>
      </c>
      <c r="M8" s="34">
        <f t="shared" si="0"/>
        <v>0</v>
      </c>
      <c r="N8" s="64">
        <f t="shared" si="0"/>
        <v>0</v>
      </c>
      <c r="O8" s="37">
        <f t="shared" si="0"/>
        <v>0</v>
      </c>
      <c r="P8" s="34">
        <f t="shared" si="0"/>
        <v>0</v>
      </c>
      <c r="Q8" s="34">
        <f t="shared" si="0"/>
        <v>0</v>
      </c>
      <c r="R8" s="34">
        <f t="shared" si="0"/>
        <v>0</v>
      </c>
      <c r="S8" s="34">
        <f t="shared" si="0"/>
        <v>0</v>
      </c>
      <c r="T8" s="34">
        <f t="shared" si="0"/>
        <v>0</v>
      </c>
      <c r="U8" s="38">
        <f t="shared" si="0"/>
        <v>0</v>
      </c>
    </row>
    <row r="9" spans="1:21" ht="19.95" customHeight="1" x14ac:dyDescent="0.3">
      <c r="A9" s="51"/>
      <c r="B9" s="23">
        <v>6401</v>
      </c>
      <c r="C9" s="23"/>
      <c r="D9" s="21" t="s">
        <v>90</v>
      </c>
      <c r="E9" s="39">
        <f>SUM(E10:E17)</f>
        <v>0</v>
      </c>
      <c r="F9" s="22">
        <f>SUM(F10:F17)</f>
        <v>0</v>
      </c>
      <c r="G9" s="22">
        <f t="shared" ref="G9:U9" si="1">SUM(G10:G17)</f>
        <v>0</v>
      </c>
      <c r="H9" s="40">
        <f t="shared" si="1"/>
        <v>0</v>
      </c>
      <c r="I9" s="36">
        <f t="shared" si="1"/>
        <v>0</v>
      </c>
      <c r="J9" s="22">
        <f t="shared" si="1"/>
        <v>0</v>
      </c>
      <c r="K9" s="22">
        <f t="shared" si="1"/>
        <v>0</v>
      </c>
      <c r="L9" s="22">
        <f t="shared" si="1"/>
        <v>0</v>
      </c>
      <c r="M9" s="22">
        <f t="shared" si="1"/>
        <v>0</v>
      </c>
      <c r="N9" s="65">
        <f t="shared" si="1"/>
        <v>0</v>
      </c>
      <c r="O9" s="39">
        <f>SUM(O10:O17)</f>
        <v>0</v>
      </c>
      <c r="P9" s="22">
        <f t="shared" si="1"/>
        <v>0</v>
      </c>
      <c r="Q9" s="22">
        <f t="shared" si="1"/>
        <v>0</v>
      </c>
      <c r="R9" s="22">
        <f t="shared" si="1"/>
        <v>0</v>
      </c>
      <c r="S9" s="22">
        <f t="shared" si="1"/>
        <v>0</v>
      </c>
      <c r="T9" s="22">
        <f t="shared" si="1"/>
        <v>0</v>
      </c>
      <c r="U9" s="40">
        <f t="shared" si="1"/>
        <v>0</v>
      </c>
    </row>
    <row r="10" spans="1:21" ht="19.95" customHeight="1" x14ac:dyDescent="0.3">
      <c r="A10" s="52"/>
      <c r="B10" s="24"/>
      <c r="C10" s="24">
        <v>64011</v>
      </c>
      <c r="D10" s="25" t="s">
        <v>44</v>
      </c>
      <c r="E10" s="43"/>
      <c r="F10" s="27"/>
      <c r="G10" s="27"/>
      <c r="H10" s="44"/>
      <c r="I10" s="49">
        <f>H10*Subsector!$S$11</f>
        <v>0</v>
      </c>
      <c r="J10" s="26">
        <f>H10*Subsector!$S$12</f>
        <v>0</v>
      </c>
      <c r="K10" s="26">
        <f>H10*Subsector!$S$13</f>
        <v>0</v>
      </c>
      <c r="L10" s="26">
        <f>H10*Subsector!$S$15</f>
        <v>0</v>
      </c>
      <c r="M10" s="26">
        <f>H10*Subsector!$S$16</f>
        <v>0</v>
      </c>
      <c r="N10" s="66">
        <f>H10*Subsector!$S$17</f>
        <v>0</v>
      </c>
      <c r="O10" s="41">
        <f t="shared" ref="O10:P17" si="2">ROUNDUP(SUM(E10,I10),1)</f>
        <v>0</v>
      </c>
      <c r="P10" s="26">
        <f t="shared" si="2"/>
        <v>0</v>
      </c>
      <c r="Q10" s="26">
        <f t="shared" ref="Q10:Q17" si="3">ROUNDUP(SUM(K10),1)</f>
        <v>0</v>
      </c>
      <c r="R10" s="26">
        <f t="shared" ref="R10:R17" si="4">ROUNDUP(SUM(G10,L10),1)</f>
        <v>0</v>
      </c>
      <c r="S10" s="26">
        <f t="shared" ref="S10:T17" si="5">ROUNDUP(SUM(M10),1)</f>
        <v>0</v>
      </c>
      <c r="T10" s="26">
        <f t="shared" si="5"/>
        <v>0</v>
      </c>
      <c r="U10" s="42">
        <f t="shared" ref="U10:U17" si="6">SUM(O10:T10)</f>
        <v>0</v>
      </c>
    </row>
    <row r="11" spans="1:21" ht="19.95" customHeight="1" x14ac:dyDescent="0.3">
      <c r="A11" s="52"/>
      <c r="B11" s="24"/>
      <c r="C11" s="24">
        <v>64012</v>
      </c>
      <c r="D11" s="25" t="s">
        <v>89</v>
      </c>
      <c r="E11" s="43"/>
      <c r="F11" s="27"/>
      <c r="G11" s="27"/>
      <c r="H11" s="44"/>
      <c r="I11" s="49">
        <f>H11*Subsector!$S$11</f>
        <v>0</v>
      </c>
      <c r="J11" s="26">
        <f>H11*Subsector!$S$12</f>
        <v>0</v>
      </c>
      <c r="K11" s="26">
        <f>H11*Subsector!$S$13</f>
        <v>0</v>
      </c>
      <c r="L11" s="26">
        <f>H11*Subsector!$S$15</f>
        <v>0</v>
      </c>
      <c r="M11" s="26">
        <f>H11*Subsector!$S$16</f>
        <v>0</v>
      </c>
      <c r="N11" s="66">
        <f>H11*Subsector!$S$17</f>
        <v>0</v>
      </c>
      <c r="O11" s="41">
        <f t="shared" si="2"/>
        <v>0</v>
      </c>
      <c r="P11" s="26">
        <f t="shared" si="2"/>
        <v>0</v>
      </c>
      <c r="Q11" s="26">
        <f t="shared" si="3"/>
        <v>0</v>
      </c>
      <c r="R11" s="26">
        <f t="shared" si="4"/>
        <v>0</v>
      </c>
      <c r="S11" s="26">
        <f t="shared" si="5"/>
        <v>0</v>
      </c>
      <c r="T11" s="26">
        <f t="shared" si="5"/>
        <v>0</v>
      </c>
      <c r="U11" s="42">
        <f t="shared" si="6"/>
        <v>0</v>
      </c>
    </row>
    <row r="12" spans="1:21" ht="19.95" customHeight="1" x14ac:dyDescent="0.3">
      <c r="A12" s="52"/>
      <c r="B12" s="24"/>
      <c r="C12" s="24">
        <v>64013</v>
      </c>
      <c r="D12" s="25" t="s">
        <v>45</v>
      </c>
      <c r="E12" s="43"/>
      <c r="F12" s="27"/>
      <c r="G12" s="27"/>
      <c r="H12" s="44"/>
      <c r="I12" s="49">
        <f>H12*Subsector!$S$11</f>
        <v>0</v>
      </c>
      <c r="J12" s="26">
        <f>H12*Subsector!$S$12</f>
        <v>0</v>
      </c>
      <c r="K12" s="26">
        <f>H12*Subsector!$S$13</f>
        <v>0</v>
      </c>
      <c r="L12" s="26">
        <f>H12*Subsector!$S$15</f>
        <v>0</v>
      </c>
      <c r="M12" s="26">
        <f>H12*Subsector!$S$16</f>
        <v>0</v>
      </c>
      <c r="N12" s="66">
        <f>H12*Subsector!$S$17</f>
        <v>0</v>
      </c>
      <c r="O12" s="41">
        <f t="shared" si="2"/>
        <v>0</v>
      </c>
      <c r="P12" s="26">
        <f t="shared" si="2"/>
        <v>0</v>
      </c>
      <c r="Q12" s="26">
        <f t="shared" si="3"/>
        <v>0</v>
      </c>
      <c r="R12" s="26">
        <f t="shared" si="4"/>
        <v>0</v>
      </c>
      <c r="S12" s="26">
        <f t="shared" si="5"/>
        <v>0</v>
      </c>
      <c r="T12" s="26">
        <f t="shared" si="5"/>
        <v>0</v>
      </c>
      <c r="U12" s="42">
        <f t="shared" si="6"/>
        <v>0</v>
      </c>
    </row>
    <row r="13" spans="1:21" ht="19.95" customHeight="1" x14ac:dyDescent="0.3">
      <c r="A13" s="52"/>
      <c r="B13" s="24"/>
      <c r="C13" s="24">
        <v>64014</v>
      </c>
      <c r="D13" s="25" t="s">
        <v>46</v>
      </c>
      <c r="E13" s="43"/>
      <c r="F13" s="27"/>
      <c r="G13" s="27"/>
      <c r="H13" s="44"/>
      <c r="I13" s="49">
        <f>H13*Subsector!$S$11</f>
        <v>0</v>
      </c>
      <c r="J13" s="26">
        <f>H13*Subsector!$S$12</f>
        <v>0</v>
      </c>
      <c r="K13" s="26">
        <f>H13*Subsector!$S$13</f>
        <v>0</v>
      </c>
      <c r="L13" s="26">
        <f>H13*Subsector!$S$15</f>
        <v>0</v>
      </c>
      <c r="M13" s="26">
        <f>H13*Subsector!$S$16</f>
        <v>0</v>
      </c>
      <c r="N13" s="66">
        <f>H13*Subsector!$S$17</f>
        <v>0</v>
      </c>
      <c r="O13" s="41">
        <f t="shared" si="2"/>
        <v>0</v>
      </c>
      <c r="P13" s="26">
        <f t="shared" si="2"/>
        <v>0</v>
      </c>
      <c r="Q13" s="26">
        <f t="shared" si="3"/>
        <v>0</v>
      </c>
      <c r="R13" s="26">
        <f t="shared" si="4"/>
        <v>0</v>
      </c>
      <c r="S13" s="26">
        <f t="shared" si="5"/>
        <v>0</v>
      </c>
      <c r="T13" s="26">
        <f t="shared" si="5"/>
        <v>0</v>
      </c>
      <c r="U13" s="42">
        <f t="shared" si="6"/>
        <v>0</v>
      </c>
    </row>
    <row r="14" spans="1:21" ht="19.95" customHeight="1" x14ac:dyDescent="0.3">
      <c r="A14" s="52"/>
      <c r="B14" s="24"/>
      <c r="C14" s="24">
        <v>64015</v>
      </c>
      <c r="D14" s="25" t="s">
        <v>47</v>
      </c>
      <c r="E14" s="43"/>
      <c r="F14" s="27"/>
      <c r="G14" s="27"/>
      <c r="H14" s="44"/>
      <c r="I14" s="49">
        <f>H14*Subsector!$S$11</f>
        <v>0</v>
      </c>
      <c r="J14" s="26">
        <f>H14*Subsector!$S$12</f>
        <v>0</v>
      </c>
      <c r="K14" s="26">
        <f>H14*Subsector!$S$13</f>
        <v>0</v>
      </c>
      <c r="L14" s="26">
        <f>H14*Subsector!$S$15</f>
        <v>0</v>
      </c>
      <c r="M14" s="26">
        <f>H14*Subsector!$S$16</f>
        <v>0</v>
      </c>
      <c r="N14" s="66">
        <f>H14*Subsector!$S$17</f>
        <v>0</v>
      </c>
      <c r="O14" s="41">
        <f t="shared" si="2"/>
        <v>0</v>
      </c>
      <c r="P14" s="26">
        <f t="shared" si="2"/>
        <v>0</v>
      </c>
      <c r="Q14" s="26">
        <f t="shared" si="3"/>
        <v>0</v>
      </c>
      <c r="R14" s="26">
        <f t="shared" si="4"/>
        <v>0</v>
      </c>
      <c r="S14" s="26">
        <f t="shared" si="5"/>
        <v>0</v>
      </c>
      <c r="T14" s="26">
        <f t="shared" si="5"/>
        <v>0</v>
      </c>
      <c r="U14" s="42">
        <f t="shared" si="6"/>
        <v>0</v>
      </c>
    </row>
    <row r="15" spans="1:21" ht="19.95" customHeight="1" x14ac:dyDescent="0.3">
      <c r="A15" s="52"/>
      <c r="B15" s="24"/>
      <c r="C15" s="24">
        <v>64016</v>
      </c>
      <c r="D15" s="25" t="s">
        <v>48</v>
      </c>
      <c r="E15" s="43"/>
      <c r="F15" s="27"/>
      <c r="G15" s="27"/>
      <c r="H15" s="44"/>
      <c r="I15" s="49">
        <f>H15*Subsector!$S$11</f>
        <v>0</v>
      </c>
      <c r="J15" s="26">
        <f>H15*Subsector!$S$12</f>
        <v>0</v>
      </c>
      <c r="K15" s="26">
        <f>H15*Subsector!$S$13</f>
        <v>0</v>
      </c>
      <c r="L15" s="26">
        <f>H15*Subsector!$S$15</f>
        <v>0</v>
      </c>
      <c r="M15" s="26">
        <f>H15*Subsector!$S$16</f>
        <v>0</v>
      </c>
      <c r="N15" s="66">
        <f>H15*Subsector!$S$17</f>
        <v>0</v>
      </c>
      <c r="O15" s="41">
        <f t="shared" si="2"/>
        <v>0</v>
      </c>
      <c r="P15" s="26">
        <f t="shared" si="2"/>
        <v>0</v>
      </c>
      <c r="Q15" s="26">
        <f t="shared" si="3"/>
        <v>0</v>
      </c>
      <c r="R15" s="26">
        <f t="shared" si="4"/>
        <v>0</v>
      </c>
      <c r="S15" s="26">
        <f t="shared" si="5"/>
        <v>0</v>
      </c>
      <c r="T15" s="26">
        <f t="shared" si="5"/>
        <v>0</v>
      </c>
      <c r="U15" s="42">
        <f t="shared" si="6"/>
        <v>0</v>
      </c>
    </row>
    <row r="16" spans="1:21" ht="19.95" customHeight="1" x14ac:dyDescent="0.3">
      <c r="A16" s="52"/>
      <c r="B16" s="24"/>
      <c r="C16" s="24">
        <v>64017</v>
      </c>
      <c r="D16" s="25" t="s">
        <v>49</v>
      </c>
      <c r="E16" s="43"/>
      <c r="F16" s="27"/>
      <c r="G16" s="27"/>
      <c r="H16" s="44"/>
      <c r="I16" s="49">
        <f>H16*Subsector!$S$11</f>
        <v>0</v>
      </c>
      <c r="J16" s="26">
        <f>H16*Subsector!$S$12</f>
        <v>0</v>
      </c>
      <c r="K16" s="26">
        <f>H16*Subsector!$S$13</f>
        <v>0</v>
      </c>
      <c r="L16" s="26">
        <f>H16*Subsector!$S$15</f>
        <v>0</v>
      </c>
      <c r="M16" s="26">
        <f>H16*Subsector!$S$16</f>
        <v>0</v>
      </c>
      <c r="N16" s="66">
        <f>H16*Subsector!$S$17</f>
        <v>0</v>
      </c>
      <c r="O16" s="41">
        <f t="shared" si="2"/>
        <v>0</v>
      </c>
      <c r="P16" s="26">
        <f t="shared" si="2"/>
        <v>0</v>
      </c>
      <c r="Q16" s="26">
        <f t="shared" si="3"/>
        <v>0</v>
      </c>
      <c r="R16" s="26">
        <f t="shared" si="4"/>
        <v>0</v>
      </c>
      <c r="S16" s="26">
        <f t="shared" si="5"/>
        <v>0</v>
      </c>
      <c r="T16" s="26">
        <f t="shared" si="5"/>
        <v>0</v>
      </c>
      <c r="U16" s="42">
        <f t="shared" si="6"/>
        <v>0</v>
      </c>
    </row>
    <row r="17" spans="1:21" ht="19.95" customHeight="1" x14ac:dyDescent="0.3">
      <c r="A17" s="52"/>
      <c r="B17" s="24"/>
      <c r="C17" s="24">
        <v>64018</v>
      </c>
      <c r="D17" s="25" t="s">
        <v>50</v>
      </c>
      <c r="E17" s="43"/>
      <c r="F17" s="27"/>
      <c r="G17" s="27"/>
      <c r="H17" s="44"/>
      <c r="I17" s="49">
        <f>H17*Subsector!$S$11</f>
        <v>0</v>
      </c>
      <c r="J17" s="26">
        <f>H17*Subsector!$S$12</f>
        <v>0</v>
      </c>
      <c r="K17" s="26">
        <f>H17*Subsector!$S$13</f>
        <v>0</v>
      </c>
      <c r="L17" s="26">
        <f>H17*Subsector!$S$15</f>
        <v>0</v>
      </c>
      <c r="M17" s="26">
        <f>H17*Subsector!$S$16</f>
        <v>0</v>
      </c>
      <c r="N17" s="66">
        <f>H17*Subsector!$S$17</f>
        <v>0</v>
      </c>
      <c r="O17" s="41">
        <f t="shared" si="2"/>
        <v>0</v>
      </c>
      <c r="P17" s="26">
        <f t="shared" si="2"/>
        <v>0</v>
      </c>
      <c r="Q17" s="26">
        <f t="shared" si="3"/>
        <v>0</v>
      </c>
      <c r="R17" s="26">
        <f t="shared" si="4"/>
        <v>0</v>
      </c>
      <c r="S17" s="26">
        <f t="shared" si="5"/>
        <v>0</v>
      </c>
      <c r="T17" s="26">
        <f t="shared" si="5"/>
        <v>0</v>
      </c>
      <c r="U17" s="42">
        <f t="shared" si="6"/>
        <v>0</v>
      </c>
    </row>
    <row r="18" spans="1:21" ht="19.95" customHeight="1" x14ac:dyDescent="0.3">
      <c r="A18" s="51"/>
      <c r="B18" s="23">
        <v>6402</v>
      </c>
      <c r="C18" s="23"/>
      <c r="D18" s="21" t="s">
        <v>51</v>
      </c>
      <c r="E18" s="39">
        <f>SUM(E19:E26)</f>
        <v>0</v>
      </c>
      <c r="F18" s="22">
        <f t="shared" ref="F18:U18" si="7">SUM(F19:F26)</f>
        <v>0</v>
      </c>
      <c r="G18" s="22">
        <f t="shared" si="7"/>
        <v>0</v>
      </c>
      <c r="H18" s="40">
        <f t="shared" si="7"/>
        <v>0</v>
      </c>
      <c r="I18" s="36">
        <f t="shared" si="7"/>
        <v>0</v>
      </c>
      <c r="J18" s="22">
        <f t="shared" si="7"/>
        <v>0</v>
      </c>
      <c r="K18" s="22">
        <f t="shared" si="7"/>
        <v>0</v>
      </c>
      <c r="L18" s="22">
        <f t="shared" si="7"/>
        <v>0</v>
      </c>
      <c r="M18" s="22">
        <f t="shared" si="7"/>
        <v>0</v>
      </c>
      <c r="N18" s="65">
        <f t="shared" si="7"/>
        <v>0</v>
      </c>
      <c r="O18" s="39">
        <f t="shared" si="7"/>
        <v>0</v>
      </c>
      <c r="P18" s="22">
        <f t="shared" si="7"/>
        <v>0</v>
      </c>
      <c r="Q18" s="22">
        <f t="shared" si="7"/>
        <v>0</v>
      </c>
      <c r="R18" s="22">
        <f t="shared" si="7"/>
        <v>0</v>
      </c>
      <c r="S18" s="22">
        <f t="shared" si="7"/>
        <v>0</v>
      </c>
      <c r="T18" s="22">
        <f t="shared" si="7"/>
        <v>0</v>
      </c>
      <c r="U18" s="40">
        <f t="shared" si="7"/>
        <v>0</v>
      </c>
    </row>
    <row r="19" spans="1:21" ht="19.95" customHeight="1" x14ac:dyDescent="0.3">
      <c r="A19" s="52"/>
      <c r="B19" s="24"/>
      <c r="C19" s="24">
        <v>64021</v>
      </c>
      <c r="D19" s="25" t="s">
        <v>52</v>
      </c>
      <c r="E19" s="43"/>
      <c r="F19" s="27"/>
      <c r="G19" s="27"/>
      <c r="H19" s="44"/>
      <c r="I19" s="49">
        <f>H19*Subsector!$S$11</f>
        <v>0</v>
      </c>
      <c r="J19" s="26">
        <f>H19*Subsector!$S$12</f>
        <v>0</v>
      </c>
      <c r="K19" s="26">
        <f>H19*Subsector!$S$13</f>
        <v>0</v>
      </c>
      <c r="L19" s="26">
        <f>H19*Subsector!$S$15</f>
        <v>0</v>
      </c>
      <c r="M19" s="26">
        <f>H19*Subsector!$S$16</f>
        <v>0</v>
      </c>
      <c r="N19" s="66">
        <f>H19*Subsector!$S$17</f>
        <v>0</v>
      </c>
      <c r="O19" s="41">
        <f t="shared" ref="O19:P26" si="8">ROUNDUP(SUM(E19,I19),1)</f>
        <v>0</v>
      </c>
      <c r="P19" s="26">
        <f t="shared" si="8"/>
        <v>0</v>
      </c>
      <c r="Q19" s="26">
        <f t="shared" ref="Q19:Q26" si="9">ROUNDUP(SUM(K19),1)</f>
        <v>0</v>
      </c>
      <c r="R19" s="26">
        <f t="shared" ref="R19:R26" si="10">ROUNDUP(SUM(G19,L19),1)</f>
        <v>0</v>
      </c>
      <c r="S19" s="26">
        <f t="shared" ref="S19:T26" si="11">ROUNDUP(SUM(M19),1)</f>
        <v>0</v>
      </c>
      <c r="T19" s="26">
        <f t="shared" si="11"/>
        <v>0</v>
      </c>
      <c r="U19" s="42">
        <f t="shared" ref="U19:U26" si="12">SUM(O19:T19)</f>
        <v>0</v>
      </c>
    </row>
    <row r="20" spans="1:21" ht="19.95" customHeight="1" x14ac:dyDescent="0.3">
      <c r="A20" s="52"/>
      <c r="B20" s="24"/>
      <c r="C20" s="24">
        <v>64022</v>
      </c>
      <c r="D20" s="25" t="s">
        <v>53</v>
      </c>
      <c r="E20" s="43"/>
      <c r="F20" s="27"/>
      <c r="G20" s="27"/>
      <c r="H20" s="44"/>
      <c r="I20" s="49">
        <f>H20*Subsector!$S$11</f>
        <v>0</v>
      </c>
      <c r="J20" s="26">
        <f>H20*Subsector!$S$12</f>
        <v>0</v>
      </c>
      <c r="K20" s="26">
        <f>H20*Subsector!$S$13</f>
        <v>0</v>
      </c>
      <c r="L20" s="26">
        <f>H20*Subsector!$S$15</f>
        <v>0</v>
      </c>
      <c r="M20" s="26">
        <f>H20*Subsector!$S$16</f>
        <v>0</v>
      </c>
      <c r="N20" s="66">
        <f>H20*Subsector!$S$17</f>
        <v>0</v>
      </c>
      <c r="O20" s="41">
        <f t="shared" si="8"/>
        <v>0</v>
      </c>
      <c r="P20" s="26">
        <f t="shared" si="8"/>
        <v>0</v>
      </c>
      <c r="Q20" s="26">
        <f t="shared" si="9"/>
        <v>0</v>
      </c>
      <c r="R20" s="26">
        <f t="shared" si="10"/>
        <v>0</v>
      </c>
      <c r="S20" s="26">
        <f t="shared" si="11"/>
        <v>0</v>
      </c>
      <c r="T20" s="26">
        <f t="shared" si="11"/>
        <v>0</v>
      </c>
      <c r="U20" s="42">
        <f t="shared" si="12"/>
        <v>0</v>
      </c>
    </row>
    <row r="21" spans="1:21" ht="19.95" customHeight="1" x14ac:dyDescent="0.3">
      <c r="A21" s="52"/>
      <c r="B21" s="24"/>
      <c r="C21" s="24">
        <v>64023</v>
      </c>
      <c r="D21" s="25" t="s">
        <v>54</v>
      </c>
      <c r="E21" s="43"/>
      <c r="F21" s="27"/>
      <c r="G21" s="27"/>
      <c r="H21" s="44"/>
      <c r="I21" s="49">
        <f>H21*Subsector!$S$11</f>
        <v>0</v>
      </c>
      <c r="J21" s="26">
        <f>H21*Subsector!$S$12</f>
        <v>0</v>
      </c>
      <c r="K21" s="26">
        <f>H21*Subsector!$S$13</f>
        <v>0</v>
      </c>
      <c r="L21" s="26">
        <f>H21*Subsector!$S$15</f>
        <v>0</v>
      </c>
      <c r="M21" s="26">
        <f>H21*Subsector!$S$16</f>
        <v>0</v>
      </c>
      <c r="N21" s="66">
        <f>H21*Subsector!$S$17</f>
        <v>0</v>
      </c>
      <c r="O21" s="41">
        <f t="shared" si="8"/>
        <v>0</v>
      </c>
      <c r="P21" s="26">
        <f t="shared" si="8"/>
        <v>0</v>
      </c>
      <c r="Q21" s="26">
        <f t="shared" si="9"/>
        <v>0</v>
      </c>
      <c r="R21" s="26">
        <f t="shared" si="10"/>
        <v>0</v>
      </c>
      <c r="S21" s="26">
        <f t="shared" si="11"/>
        <v>0</v>
      </c>
      <c r="T21" s="26">
        <f t="shared" si="11"/>
        <v>0</v>
      </c>
      <c r="U21" s="42">
        <f t="shared" si="12"/>
        <v>0</v>
      </c>
    </row>
    <row r="22" spans="1:21" ht="19.95" customHeight="1" x14ac:dyDescent="0.3">
      <c r="A22" s="52"/>
      <c r="B22" s="24"/>
      <c r="C22" s="24">
        <v>64024</v>
      </c>
      <c r="D22" s="25" t="s">
        <v>55</v>
      </c>
      <c r="E22" s="43"/>
      <c r="F22" s="27"/>
      <c r="G22" s="27"/>
      <c r="H22" s="44"/>
      <c r="I22" s="49">
        <f>H22*Subsector!$S$11</f>
        <v>0</v>
      </c>
      <c r="J22" s="26">
        <f>H22*Subsector!$S$12</f>
        <v>0</v>
      </c>
      <c r="K22" s="26">
        <f>H22*Subsector!$S$13</f>
        <v>0</v>
      </c>
      <c r="L22" s="26">
        <f>H22*Subsector!$S$15</f>
        <v>0</v>
      </c>
      <c r="M22" s="26">
        <f>H22*Subsector!$S$16</f>
        <v>0</v>
      </c>
      <c r="N22" s="66">
        <f>H22*Subsector!$S$17</f>
        <v>0</v>
      </c>
      <c r="O22" s="41">
        <f t="shared" si="8"/>
        <v>0</v>
      </c>
      <c r="P22" s="26">
        <f t="shared" si="8"/>
        <v>0</v>
      </c>
      <c r="Q22" s="26">
        <f t="shared" si="9"/>
        <v>0</v>
      </c>
      <c r="R22" s="26">
        <f t="shared" si="10"/>
        <v>0</v>
      </c>
      <c r="S22" s="26">
        <f t="shared" si="11"/>
        <v>0</v>
      </c>
      <c r="T22" s="26">
        <f t="shared" si="11"/>
        <v>0</v>
      </c>
      <c r="U22" s="42">
        <f t="shared" si="12"/>
        <v>0</v>
      </c>
    </row>
    <row r="23" spans="1:21" ht="19.95" customHeight="1" x14ac:dyDescent="0.3">
      <c r="A23" s="52"/>
      <c r="B23" s="24"/>
      <c r="C23" s="24">
        <v>64025</v>
      </c>
      <c r="D23" s="25" t="s">
        <v>56</v>
      </c>
      <c r="E23" s="43"/>
      <c r="F23" s="27"/>
      <c r="G23" s="27"/>
      <c r="H23" s="44"/>
      <c r="I23" s="49">
        <f>H23*Subsector!$S$11</f>
        <v>0</v>
      </c>
      <c r="J23" s="26">
        <f>H23*Subsector!$S$12</f>
        <v>0</v>
      </c>
      <c r="K23" s="26">
        <f>H23*Subsector!$S$13</f>
        <v>0</v>
      </c>
      <c r="L23" s="26">
        <f>H23*Subsector!$S$15</f>
        <v>0</v>
      </c>
      <c r="M23" s="26">
        <f>H23*Subsector!$S$16</f>
        <v>0</v>
      </c>
      <c r="N23" s="66">
        <f>H23*Subsector!$S$17</f>
        <v>0</v>
      </c>
      <c r="O23" s="41">
        <f t="shared" si="8"/>
        <v>0</v>
      </c>
      <c r="P23" s="26">
        <f t="shared" si="8"/>
        <v>0</v>
      </c>
      <c r="Q23" s="26">
        <f t="shared" si="9"/>
        <v>0</v>
      </c>
      <c r="R23" s="26">
        <f t="shared" si="10"/>
        <v>0</v>
      </c>
      <c r="S23" s="26">
        <f t="shared" si="11"/>
        <v>0</v>
      </c>
      <c r="T23" s="26">
        <f t="shared" si="11"/>
        <v>0</v>
      </c>
      <c r="U23" s="42">
        <f t="shared" si="12"/>
        <v>0</v>
      </c>
    </row>
    <row r="24" spans="1:21" ht="19.95" customHeight="1" x14ac:dyDescent="0.3">
      <c r="A24" s="52"/>
      <c r="B24" s="24"/>
      <c r="C24" s="24">
        <v>64026</v>
      </c>
      <c r="D24" s="25" t="s">
        <v>57</v>
      </c>
      <c r="E24" s="43"/>
      <c r="F24" s="27"/>
      <c r="G24" s="27"/>
      <c r="H24" s="44"/>
      <c r="I24" s="49">
        <f>H24*Subsector!$S$11</f>
        <v>0</v>
      </c>
      <c r="J24" s="26">
        <f>H24*Subsector!$S$12</f>
        <v>0</v>
      </c>
      <c r="K24" s="26">
        <f>H24*Subsector!$S$13</f>
        <v>0</v>
      </c>
      <c r="L24" s="26">
        <f>H24*Subsector!$S$15</f>
        <v>0</v>
      </c>
      <c r="M24" s="26">
        <f>H24*Subsector!$S$16</f>
        <v>0</v>
      </c>
      <c r="N24" s="66">
        <f>H24*Subsector!$S$17</f>
        <v>0</v>
      </c>
      <c r="O24" s="41">
        <f t="shared" si="8"/>
        <v>0</v>
      </c>
      <c r="P24" s="26">
        <f t="shared" si="8"/>
        <v>0</v>
      </c>
      <c r="Q24" s="26">
        <f t="shared" si="9"/>
        <v>0</v>
      </c>
      <c r="R24" s="26">
        <f t="shared" si="10"/>
        <v>0</v>
      </c>
      <c r="S24" s="26">
        <f t="shared" si="11"/>
        <v>0</v>
      </c>
      <c r="T24" s="26">
        <f t="shared" si="11"/>
        <v>0</v>
      </c>
      <c r="U24" s="42">
        <f t="shared" si="12"/>
        <v>0</v>
      </c>
    </row>
    <row r="25" spans="1:21" ht="19.95" customHeight="1" x14ac:dyDescent="0.3">
      <c r="A25" s="52"/>
      <c r="B25" s="24"/>
      <c r="C25" s="24">
        <v>64027</v>
      </c>
      <c r="D25" s="25" t="s">
        <v>58</v>
      </c>
      <c r="E25" s="43"/>
      <c r="F25" s="27"/>
      <c r="G25" s="27"/>
      <c r="H25" s="44"/>
      <c r="I25" s="49">
        <f>H25*Subsector!$S$11</f>
        <v>0</v>
      </c>
      <c r="J25" s="26">
        <f>H25*Subsector!$S$12</f>
        <v>0</v>
      </c>
      <c r="K25" s="26">
        <f>H25*Subsector!$S$13</f>
        <v>0</v>
      </c>
      <c r="L25" s="26">
        <f>H25*Subsector!$S$15</f>
        <v>0</v>
      </c>
      <c r="M25" s="26">
        <f>H25*Subsector!$S$16</f>
        <v>0</v>
      </c>
      <c r="N25" s="66">
        <f>H25*Subsector!$S$17</f>
        <v>0</v>
      </c>
      <c r="O25" s="41">
        <f t="shared" si="8"/>
        <v>0</v>
      </c>
      <c r="P25" s="26">
        <f t="shared" si="8"/>
        <v>0</v>
      </c>
      <c r="Q25" s="26">
        <f t="shared" si="9"/>
        <v>0</v>
      </c>
      <c r="R25" s="26">
        <f t="shared" si="10"/>
        <v>0</v>
      </c>
      <c r="S25" s="26">
        <f t="shared" si="11"/>
        <v>0</v>
      </c>
      <c r="T25" s="26">
        <f t="shared" si="11"/>
        <v>0</v>
      </c>
      <c r="U25" s="42">
        <f t="shared" si="12"/>
        <v>0</v>
      </c>
    </row>
    <row r="26" spans="1:21" ht="19.95" customHeight="1" x14ac:dyDescent="0.3">
      <c r="A26" s="52"/>
      <c r="B26" s="24"/>
      <c r="C26" s="24">
        <v>64028</v>
      </c>
      <c r="D26" s="25" t="s">
        <v>59</v>
      </c>
      <c r="E26" s="43"/>
      <c r="F26" s="27"/>
      <c r="G26" s="27"/>
      <c r="H26" s="44"/>
      <c r="I26" s="49">
        <f>H26*Subsector!$S$11</f>
        <v>0</v>
      </c>
      <c r="J26" s="26">
        <f>H26*Subsector!$S$12</f>
        <v>0</v>
      </c>
      <c r="K26" s="26">
        <f>H26*Subsector!$S$13</f>
        <v>0</v>
      </c>
      <c r="L26" s="26">
        <f>H26*Subsector!$S$15</f>
        <v>0</v>
      </c>
      <c r="M26" s="26">
        <f>H26*Subsector!$S$16</f>
        <v>0</v>
      </c>
      <c r="N26" s="66">
        <f>H26*Subsector!$S$17</f>
        <v>0</v>
      </c>
      <c r="O26" s="41">
        <f t="shared" si="8"/>
        <v>0</v>
      </c>
      <c r="P26" s="26">
        <f t="shared" si="8"/>
        <v>0</v>
      </c>
      <c r="Q26" s="26">
        <f t="shared" si="9"/>
        <v>0</v>
      </c>
      <c r="R26" s="26">
        <f t="shared" si="10"/>
        <v>0</v>
      </c>
      <c r="S26" s="26">
        <f t="shared" si="11"/>
        <v>0</v>
      </c>
      <c r="T26" s="26">
        <f t="shared" si="11"/>
        <v>0</v>
      </c>
      <c r="U26" s="42">
        <f t="shared" si="12"/>
        <v>0</v>
      </c>
    </row>
    <row r="27" spans="1:21" ht="19.95" customHeight="1" x14ac:dyDescent="0.3">
      <c r="A27" s="51"/>
      <c r="B27" s="23">
        <v>6403</v>
      </c>
      <c r="C27" s="23"/>
      <c r="D27" s="21" t="s">
        <v>60</v>
      </c>
      <c r="E27" s="39">
        <f>SUM(E28:E32)</f>
        <v>0</v>
      </c>
      <c r="F27" s="22">
        <f t="shared" ref="F27:U27" si="13">SUM(F28:F32)</f>
        <v>0</v>
      </c>
      <c r="G27" s="22">
        <f t="shared" si="13"/>
        <v>0</v>
      </c>
      <c r="H27" s="40">
        <f t="shared" si="13"/>
        <v>0</v>
      </c>
      <c r="I27" s="36">
        <f t="shared" si="13"/>
        <v>0</v>
      </c>
      <c r="J27" s="22">
        <f t="shared" si="13"/>
        <v>0</v>
      </c>
      <c r="K27" s="22">
        <f t="shared" si="13"/>
        <v>0</v>
      </c>
      <c r="L27" s="22">
        <f t="shared" si="13"/>
        <v>0</v>
      </c>
      <c r="M27" s="22">
        <f t="shared" si="13"/>
        <v>0</v>
      </c>
      <c r="N27" s="65">
        <f t="shared" si="13"/>
        <v>0</v>
      </c>
      <c r="O27" s="39">
        <f t="shared" si="13"/>
        <v>0</v>
      </c>
      <c r="P27" s="22">
        <f t="shared" si="13"/>
        <v>0</v>
      </c>
      <c r="Q27" s="22">
        <f t="shared" si="13"/>
        <v>0</v>
      </c>
      <c r="R27" s="22">
        <f t="shared" si="13"/>
        <v>0</v>
      </c>
      <c r="S27" s="22">
        <f t="shared" si="13"/>
        <v>0</v>
      </c>
      <c r="T27" s="22">
        <f t="shared" si="13"/>
        <v>0</v>
      </c>
      <c r="U27" s="40">
        <f t="shared" si="13"/>
        <v>0</v>
      </c>
    </row>
    <row r="28" spans="1:21" ht="19.95" customHeight="1" x14ac:dyDescent="0.3">
      <c r="A28" s="52"/>
      <c r="B28" s="24"/>
      <c r="C28" s="24">
        <v>64033</v>
      </c>
      <c r="D28" s="25" t="s">
        <v>61</v>
      </c>
      <c r="E28" s="43"/>
      <c r="F28" s="27"/>
      <c r="G28" s="27"/>
      <c r="H28" s="44"/>
      <c r="I28" s="49">
        <f>H28*Subsector!$S$11</f>
        <v>0</v>
      </c>
      <c r="J28" s="26">
        <f>H28*Subsector!$S$12</f>
        <v>0</v>
      </c>
      <c r="K28" s="26">
        <f>H28*Subsector!$S$13</f>
        <v>0</v>
      </c>
      <c r="L28" s="26">
        <f>H28*Subsector!$S$15</f>
        <v>0</v>
      </c>
      <c r="M28" s="26">
        <f>H28*Subsector!$S$16</f>
        <v>0</v>
      </c>
      <c r="N28" s="66">
        <f>H28*Subsector!$S$17</f>
        <v>0</v>
      </c>
      <c r="O28" s="41">
        <f t="shared" ref="O28:P32" si="14">ROUNDUP(SUM(E28,I28),1)</f>
        <v>0</v>
      </c>
      <c r="P28" s="26">
        <f t="shared" si="14"/>
        <v>0</v>
      </c>
      <c r="Q28" s="26">
        <f>ROUNDUP(SUM(K28),1)</f>
        <v>0</v>
      </c>
      <c r="R28" s="26">
        <f>ROUNDUP(SUM(G28,L28),1)</f>
        <v>0</v>
      </c>
      <c r="S28" s="26">
        <f t="shared" ref="S28:T32" si="15">ROUNDUP(SUM(M28),1)</f>
        <v>0</v>
      </c>
      <c r="T28" s="26">
        <f t="shared" si="15"/>
        <v>0</v>
      </c>
      <c r="U28" s="42">
        <f>SUM(O28:T28)</f>
        <v>0</v>
      </c>
    </row>
    <row r="29" spans="1:21" ht="19.95" customHeight="1" x14ac:dyDescent="0.3">
      <c r="A29" s="52"/>
      <c r="B29" s="24"/>
      <c r="C29" s="24">
        <v>64034</v>
      </c>
      <c r="D29" s="25" t="s">
        <v>62</v>
      </c>
      <c r="E29" s="43"/>
      <c r="F29" s="27"/>
      <c r="G29" s="27"/>
      <c r="H29" s="44"/>
      <c r="I29" s="49">
        <f>H29*Subsector!$S$11</f>
        <v>0</v>
      </c>
      <c r="J29" s="26">
        <f>H29*Subsector!$S$12</f>
        <v>0</v>
      </c>
      <c r="K29" s="26">
        <f>H29*Subsector!$S$13</f>
        <v>0</v>
      </c>
      <c r="L29" s="26">
        <f>H29*Subsector!$S$15</f>
        <v>0</v>
      </c>
      <c r="M29" s="26">
        <f>H29*Subsector!$S$16</f>
        <v>0</v>
      </c>
      <c r="N29" s="66">
        <f>H29*Subsector!$S$17</f>
        <v>0</v>
      </c>
      <c r="O29" s="41">
        <f t="shared" si="14"/>
        <v>0</v>
      </c>
      <c r="P29" s="26">
        <f t="shared" si="14"/>
        <v>0</v>
      </c>
      <c r="Q29" s="26">
        <f>ROUNDUP(SUM(K29),1)</f>
        <v>0</v>
      </c>
      <c r="R29" s="26">
        <f>ROUNDUP(SUM(G29,L29),1)</f>
        <v>0</v>
      </c>
      <c r="S29" s="26">
        <f t="shared" si="15"/>
        <v>0</v>
      </c>
      <c r="T29" s="26">
        <f t="shared" si="15"/>
        <v>0</v>
      </c>
      <c r="U29" s="42">
        <f>SUM(O29:T29)</f>
        <v>0</v>
      </c>
    </row>
    <row r="30" spans="1:21" ht="19.95" customHeight="1" x14ac:dyDescent="0.3">
      <c r="A30" s="52"/>
      <c r="B30" s="24"/>
      <c r="C30" s="24">
        <v>64035</v>
      </c>
      <c r="D30" s="25" t="s">
        <v>63</v>
      </c>
      <c r="E30" s="43"/>
      <c r="F30" s="27"/>
      <c r="G30" s="27"/>
      <c r="H30" s="44"/>
      <c r="I30" s="49">
        <f>H30*Subsector!$S$11</f>
        <v>0</v>
      </c>
      <c r="J30" s="26">
        <f>H30*Subsector!$S$12</f>
        <v>0</v>
      </c>
      <c r="K30" s="26">
        <f>H30*Subsector!$S$13</f>
        <v>0</v>
      </c>
      <c r="L30" s="26">
        <f>H30*Subsector!$S$15</f>
        <v>0</v>
      </c>
      <c r="M30" s="26">
        <f>H30*Subsector!$S$16</f>
        <v>0</v>
      </c>
      <c r="N30" s="66">
        <f>H30*Subsector!$S$17</f>
        <v>0</v>
      </c>
      <c r="O30" s="41">
        <f t="shared" si="14"/>
        <v>0</v>
      </c>
      <c r="P30" s="26">
        <f t="shared" si="14"/>
        <v>0</v>
      </c>
      <c r="Q30" s="26">
        <f>ROUNDUP(SUM(K30),1)</f>
        <v>0</v>
      </c>
      <c r="R30" s="26">
        <f>ROUNDUP(SUM(G30,L30),1)</f>
        <v>0</v>
      </c>
      <c r="S30" s="26">
        <f t="shared" si="15"/>
        <v>0</v>
      </c>
      <c r="T30" s="26">
        <f t="shared" si="15"/>
        <v>0</v>
      </c>
      <c r="U30" s="42">
        <f>SUM(O30:T30)</f>
        <v>0</v>
      </c>
    </row>
    <row r="31" spans="1:21" ht="19.95" customHeight="1" x14ac:dyDescent="0.3">
      <c r="A31" s="52"/>
      <c r="B31" s="24"/>
      <c r="C31" s="24">
        <v>64037</v>
      </c>
      <c r="D31" s="25" t="s">
        <v>64</v>
      </c>
      <c r="E31" s="43"/>
      <c r="F31" s="27"/>
      <c r="G31" s="27"/>
      <c r="H31" s="44"/>
      <c r="I31" s="49">
        <f>H31*Subsector!$S$11</f>
        <v>0</v>
      </c>
      <c r="J31" s="26">
        <f>H31*Subsector!$S$12</f>
        <v>0</v>
      </c>
      <c r="K31" s="26">
        <f>H31*Subsector!$S$13</f>
        <v>0</v>
      </c>
      <c r="L31" s="26">
        <f>H31*Subsector!$S$15</f>
        <v>0</v>
      </c>
      <c r="M31" s="26">
        <f>H31*Subsector!$S$16</f>
        <v>0</v>
      </c>
      <c r="N31" s="66">
        <f>H31*Subsector!$S$17</f>
        <v>0</v>
      </c>
      <c r="O31" s="41">
        <f t="shared" si="14"/>
        <v>0</v>
      </c>
      <c r="P31" s="26">
        <f t="shared" si="14"/>
        <v>0</v>
      </c>
      <c r="Q31" s="26">
        <f>ROUNDUP(SUM(K31),1)</f>
        <v>0</v>
      </c>
      <c r="R31" s="26">
        <f>ROUNDUP(SUM(G31,L31),1)</f>
        <v>0</v>
      </c>
      <c r="S31" s="26">
        <f t="shared" si="15"/>
        <v>0</v>
      </c>
      <c r="T31" s="26">
        <f t="shared" si="15"/>
        <v>0</v>
      </c>
      <c r="U31" s="42">
        <f>SUM(O31:T31)</f>
        <v>0</v>
      </c>
    </row>
    <row r="32" spans="1:21" ht="19.95" customHeight="1" x14ac:dyDescent="0.3">
      <c r="A32" s="52"/>
      <c r="B32" s="24"/>
      <c r="C32" s="24">
        <v>64038</v>
      </c>
      <c r="D32" s="25" t="s">
        <v>60</v>
      </c>
      <c r="E32" s="43"/>
      <c r="F32" s="27"/>
      <c r="G32" s="27"/>
      <c r="H32" s="44"/>
      <c r="I32" s="49">
        <f>H32*Subsector!$S$11</f>
        <v>0</v>
      </c>
      <c r="J32" s="26">
        <f>H32*Subsector!$S$12</f>
        <v>0</v>
      </c>
      <c r="K32" s="26">
        <f>H32*Subsector!$S$13</f>
        <v>0</v>
      </c>
      <c r="L32" s="26">
        <f>H32*Subsector!$S$15</f>
        <v>0</v>
      </c>
      <c r="M32" s="26">
        <f>H32*Subsector!$S$16</f>
        <v>0</v>
      </c>
      <c r="N32" s="66">
        <f>H32*Subsector!$S$17</f>
        <v>0</v>
      </c>
      <c r="O32" s="41">
        <f t="shared" si="14"/>
        <v>0</v>
      </c>
      <c r="P32" s="26">
        <f t="shared" si="14"/>
        <v>0</v>
      </c>
      <c r="Q32" s="26">
        <f>ROUNDUP(SUM(K32),1)</f>
        <v>0</v>
      </c>
      <c r="R32" s="26">
        <f>ROUNDUP(SUM(G32,L32),1)</f>
        <v>0</v>
      </c>
      <c r="S32" s="26">
        <f t="shared" si="15"/>
        <v>0</v>
      </c>
      <c r="T32" s="26">
        <f t="shared" si="15"/>
        <v>0</v>
      </c>
      <c r="U32" s="42">
        <f>SUM(O32:T32)</f>
        <v>0</v>
      </c>
    </row>
    <row r="33" spans="1:21" ht="19.95" customHeight="1" x14ac:dyDescent="0.3">
      <c r="A33" s="51"/>
      <c r="B33" s="23">
        <v>6404</v>
      </c>
      <c r="C33" s="23"/>
      <c r="D33" s="21" t="s">
        <v>65</v>
      </c>
      <c r="E33" s="39">
        <f>SUM(E34:E36)</f>
        <v>0</v>
      </c>
      <c r="F33" s="22">
        <f t="shared" ref="F33:U33" si="16">SUM(F34:F36)</f>
        <v>0</v>
      </c>
      <c r="G33" s="22">
        <f t="shared" si="16"/>
        <v>0</v>
      </c>
      <c r="H33" s="40">
        <f t="shared" si="16"/>
        <v>0</v>
      </c>
      <c r="I33" s="36">
        <f t="shared" si="16"/>
        <v>0</v>
      </c>
      <c r="J33" s="22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65">
        <f t="shared" si="16"/>
        <v>0</v>
      </c>
      <c r="O33" s="39">
        <f t="shared" si="16"/>
        <v>0</v>
      </c>
      <c r="P33" s="22">
        <f t="shared" si="16"/>
        <v>0</v>
      </c>
      <c r="Q33" s="22">
        <f t="shared" si="16"/>
        <v>0</v>
      </c>
      <c r="R33" s="22">
        <f t="shared" si="16"/>
        <v>0</v>
      </c>
      <c r="S33" s="22">
        <f t="shared" si="16"/>
        <v>0</v>
      </c>
      <c r="T33" s="22">
        <f t="shared" si="16"/>
        <v>0</v>
      </c>
      <c r="U33" s="40">
        <f t="shared" si="16"/>
        <v>0</v>
      </c>
    </row>
    <row r="34" spans="1:21" ht="19.95" customHeight="1" x14ac:dyDescent="0.3">
      <c r="A34" s="52"/>
      <c r="B34" s="24"/>
      <c r="C34" s="24">
        <v>64041</v>
      </c>
      <c r="D34" s="25" t="s">
        <v>66</v>
      </c>
      <c r="E34" s="43"/>
      <c r="F34" s="27"/>
      <c r="G34" s="27"/>
      <c r="H34" s="44"/>
      <c r="I34" s="49">
        <f>H34*Subsector!$S$11</f>
        <v>0</v>
      </c>
      <c r="J34" s="26">
        <f>H34*Subsector!$S$12</f>
        <v>0</v>
      </c>
      <c r="K34" s="26">
        <f>H34*Subsector!$S$13</f>
        <v>0</v>
      </c>
      <c r="L34" s="26">
        <f>H34*Subsector!$S$15</f>
        <v>0</v>
      </c>
      <c r="M34" s="26">
        <f>H34*Subsector!$S$16</f>
        <v>0</v>
      </c>
      <c r="N34" s="66">
        <f>H34*Subsector!$S$17</f>
        <v>0</v>
      </c>
      <c r="O34" s="41">
        <f t="shared" ref="O34:P36" si="17">ROUNDUP(SUM(E34,I34),1)</f>
        <v>0</v>
      </c>
      <c r="P34" s="26">
        <f t="shared" si="17"/>
        <v>0</v>
      </c>
      <c r="Q34" s="26">
        <f>ROUNDUP(SUM(K34),1)</f>
        <v>0</v>
      </c>
      <c r="R34" s="26">
        <f>ROUNDUP(SUM(G34,L34),1)</f>
        <v>0</v>
      </c>
      <c r="S34" s="26">
        <f t="shared" ref="S34:T36" si="18">ROUNDUP(SUM(M34),1)</f>
        <v>0</v>
      </c>
      <c r="T34" s="26">
        <f t="shared" si="18"/>
        <v>0</v>
      </c>
      <c r="U34" s="42">
        <f>SUM(O34:T34)</f>
        <v>0</v>
      </c>
    </row>
    <row r="35" spans="1:21" ht="19.95" customHeight="1" x14ac:dyDescent="0.3">
      <c r="A35" s="52"/>
      <c r="B35" s="24"/>
      <c r="C35" s="24">
        <v>64042</v>
      </c>
      <c r="D35" s="25" t="s">
        <v>67</v>
      </c>
      <c r="E35" s="43"/>
      <c r="F35" s="27"/>
      <c r="G35" s="27"/>
      <c r="H35" s="44"/>
      <c r="I35" s="49">
        <f>H35*Subsector!$S$11</f>
        <v>0</v>
      </c>
      <c r="J35" s="26">
        <f>H35*Subsector!$S$12</f>
        <v>0</v>
      </c>
      <c r="K35" s="26">
        <f>H35*Subsector!$S$13</f>
        <v>0</v>
      </c>
      <c r="L35" s="26">
        <f>H35*Subsector!$S$15</f>
        <v>0</v>
      </c>
      <c r="M35" s="26">
        <f>H35*Subsector!$S$16</f>
        <v>0</v>
      </c>
      <c r="N35" s="66">
        <f>H35*Subsector!$S$17</f>
        <v>0</v>
      </c>
      <c r="O35" s="41">
        <f t="shared" si="17"/>
        <v>0</v>
      </c>
      <c r="P35" s="26">
        <f t="shared" si="17"/>
        <v>0</v>
      </c>
      <c r="Q35" s="26">
        <f>ROUNDUP(SUM(K35),1)</f>
        <v>0</v>
      </c>
      <c r="R35" s="26">
        <f>ROUNDUP(SUM(G35,L35),1)</f>
        <v>0</v>
      </c>
      <c r="S35" s="26">
        <f t="shared" si="18"/>
        <v>0</v>
      </c>
      <c r="T35" s="26">
        <f t="shared" si="18"/>
        <v>0</v>
      </c>
      <c r="U35" s="42">
        <f>SUM(O35:T35)</f>
        <v>0</v>
      </c>
    </row>
    <row r="36" spans="1:21" ht="19.95" customHeight="1" x14ac:dyDescent="0.3">
      <c r="A36" s="53"/>
      <c r="B36" s="23"/>
      <c r="C36" s="24">
        <v>64048</v>
      </c>
      <c r="D36" s="25" t="s">
        <v>68</v>
      </c>
      <c r="E36" s="43"/>
      <c r="F36" s="27"/>
      <c r="G36" s="27"/>
      <c r="H36" s="44"/>
      <c r="I36" s="49">
        <f>H36*Subsector!$S$11</f>
        <v>0</v>
      </c>
      <c r="J36" s="26">
        <f>H36*Subsector!$S$12</f>
        <v>0</v>
      </c>
      <c r="K36" s="26">
        <f>H36*Subsector!$S$13</f>
        <v>0</v>
      </c>
      <c r="L36" s="26">
        <f>H36*Subsector!$S$15</f>
        <v>0</v>
      </c>
      <c r="M36" s="26">
        <f>H36*Subsector!$S$16</f>
        <v>0</v>
      </c>
      <c r="N36" s="66">
        <f>H36*Subsector!$S$17</f>
        <v>0</v>
      </c>
      <c r="O36" s="41">
        <f t="shared" si="17"/>
        <v>0</v>
      </c>
      <c r="P36" s="26">
        <f t="shared" si="17"/>
        <v>0</v>
      </c>
      <c r="Q36" s="26">
        <f>ROUNDUP(SUM(K36),1)</f>
        <v>0</v>
      </c>
      <c r="R36" s="26">
        <f>ROUNDUP(SUM(G36,L36),1)</f>
        <v>0</v>
      </c>
      <c r="S36" s="26">
        <f t="shared" si="18"/>
        <v>0</v>
      </c>
      <c r="T36" s="26">
        <f t="shared" si="18"/>
        <v>0</v>
      </c>
      <c r="U36" s="42">
        <f>SUM(O36:T36)</f>
        <v>0</v>
      </c>
    </row>
    <row r="37" spans="1:21" ht="19.95" customHeight="1" x14ac:dyDescent="0.3">
      <c r="A37" s="54"/>
      <c r="B37" s="23">
        <v>6405</v>
      </c>
      <c r="C37" s="23"/>
      <c r="D37" s="21" t="s">
        <v>69</v>
      </c>
      <c r="E37" s="39">
        <f>SUM(E38:E44)</f>
        <v>0</v>
      </c>
      <c r="F37" s="22">
        <f t="shared" ref="F37:U37" si="19">SUM(F38:F44)</f>
        <v>0</v>
      </c>
      <c r="G37" s="22">
        <f t="shared" si="19"/>
        <v>0</v>
      </c>
      <c r="H37" s="40">
        <f t="shared" si="19"/>
        <v>0</v>
      </c>
      <c r="I37" s="36">
        <f t="shared" si="19"/>
        <v>0</v>
      </c>
      <c r="J37" s="22">
        <f t="shared" si="19"/>
        <v>0</v>
      </c>
      <c r="K37" s="22">
        <f t="shared" si="19"/>
        <v>0</v>
      </c>
      <c r="L37" s="22">
        <f t="shared" si="19"/>
        <v>0</v>
      </c>
      <c r="M37" s="22">
        <f t="shared" si="19"/>
        <v>0</v>
      </c>
      <c r="N37" s="65">
        <f t="shared" si="19"/>
        <v>0</v>
      </c>
      <c r="O37" s="39">
        <f t="shared" si="19"/>
        <v>0</v>
      </c>
      <c r="P37" s="22">
        <f t="shared" si="19"/>
        <v>0</v>
      </c>
      <c r="Q37" s="22">
        <f t="shared" si="19"/>
        <v>0</v>
      </c>
      <c r="R37" s="22">
        <f t="shared" si="19"/>
        <v>0</v>
      </c>
      <c r="S37" s="22">
        <f t="shared" si="19"/>
        <v>0</v>
      </c>
      <c r="T37" s="22">
        <f t="shared" si="19"/>
        <v>0</v>
      </c>
      <c r="U37" s="40">
        <f t="shared" si="19"/>
        <v>0</v>
      </c>
    </row>
    <row r="38" spans="1:21" ht="19.95" customHeight="1" x14ac:dyDescent="0.3">
      <c r="A38" s="55"/>
      <c r="B38" s="23"/>
      <c r="C38" s="24">
        <v>64051</v>
      </c>
      <c r="D38" s="25" t="s">
        <v>70</v>
      </c>
      <c r="E38" s="43"/>
      <c r="F38" s="27"/>
      <c r="G38" s="27"/>
      <c r="H38" s="44"/>
      <c r="I38" s="49">
        <f>H38*Subsector!$S$11</f>
        <v>0</v>
      </c>
      <c r="J38" s="26">
        <f>H38*Subsector!$S$12</f>
        <v>0</v>
      </c>
      <c r="K38" s="26">
        <f>H38*Subsector!$S$13</f>
        <v>0</v>
      </c>
      <c r="L38" s="26">
        <f>H38*Subsector!$S$15</f>
        <v>0</v>
      </c>
      <c r="M38" s="26">
        <f>H38*Subsector!$S$16</f>
        <v>0</v>
      </c>
      <c r="N38" s="66">
        <f>H38*Subsector!$S$17</f>
        <v>0</v>
      </c>
      <c r="O38" s="41">
        <f t="shared" ref="O38:P44" si="20">ROUNDUP(SUM(E38,I38),1)</f>
        <v>0</v>
      </c>
      <c r="P38" s="26">
        <f t="shared" si="20"/>
        <v>0</v>
      </c>
      <c r="Q38" s="26">
        <f t="shared" ref="Q38:Q44" si="21">ROUNDUP(SUM(K38),1)</f>
        <v>0</v>
      </c>
      <c r="R38" s="26">
        <f t="shared" ref="R38:R44" si="22">ROUNDUP(SUM(G38,L38),1)</f>
        <v>0</v>
      </c>
      <c r="S38" s="26">
        <f t="shared" ref="S38:T44" si="23">ROUNDUP(SUM(M38),1)</f>
        <v>0</v>
      </c>
      <c r="T38" s="26">
        <f t="shared" si="23"/>
        <v>0</v>
      </c>
      <c r="U38" s="42">
        <f t="shared" ref="U38:U44" si="24">SUM(O38:T38)</f>
        <v>0</v>
      </c>
    </row>
    <row r="39" spans="1:21" ht="19.95" customHeight="1" x14ac:dyDescent="0.3">
      <c r="A39" s="55"/>
      <c r="B39" s="24"/>
      <c r="C39" s="24">
        <v>64052</v>
      </c>
      <c r="D39" s="25" t="s">
        <v>71</v>
      </c>
      <c r="E39" s="43"/>
      <c r="F39" s="27"/>
      <c r="G39" s="27"/>
      <c r="H39" s="44"/>
      <c r="I39" s="49">
        <f>H39*Subsector!$S$11</f>
        <v>0</v>
      </c>
      <c r="J39" s="26">
        <f>H39*Subsector!$S$12</f>
        <v>0</v>
      </c>
      <c r="K39" s="26">
        <f>H39*Subsector!$S$13</f>
        <v>0</v>
      </c>
      <c r="L39" s="26">
        <f>H39*Subsector!$S$15</f>
        <v>0</v>
      </c>
      <c r="M39" s="26">
        <f>H39*Subsector!$S$16</f>
        <v>0</v>
      </c>
      <c r="N39" s="66">
        <f>H39*Subsector!$S$17</f>
        <v>0</v>
      </c>
      <c r="O39" s="41">
        <f t="shared" si="20"/>
        <v>0</v>
      </c>
      <c r="P39" s="26">
        <f t="shared" si="20"/>
        <v>0</v>
      </c>
      <c r="Q39" s="26">
        <f t="shared" si="21"/>
        <v>0</v>
      </c>
      <c r="R39" s="26">
        <f t="shared" si="22"/>
        <v>0</v>
      </c>
      <c r="S39" s="26">
        <f t="shared" si="23"/>
        <v>0</v>
      </c>
      <c r="T39" s="26">
        <f t="shared" si="23"/>
        <v>0</v>
      </c>
      <c r="U39" s="42">
        <f t="shared" si="24"/>
        <v>0</v>
      </c>
    </row>
    <row r="40" spans="1:21" ht="19.95" customHeight="1" x14ac:dyDescent="0.3">
      <c r="A40" s="55"/>
      <c r="B40" s="24"/>
      <c r="C40" s="24">
        <v>64053</v>
      </c>
      <c r="D40" s="25" t="s">
        <v>72</v>
      </c>
      <c r="E40" s="43"/>
      <c r="F40" s="27"/>
      <c r="G40" s="27"/>
      <c r="H40" s="44"/>
      <c r="I40" s="49">
        <f>H40*Subsector!$S$11</f>
        <v>0</v>
      </c>
      <c r="J40" s="26">
        <f>H40*Subsector!$S$12</f>
        <v>0</v>
      </c>
      <c r="K40" s="26">
        <f>H40*Subsector!$S$13</f>
        <v>0</v>
      </c>
      <c r="L40" s="26">
        <f>H40*Subsector!$S$15</f>
        <v>0</v>
      </c>
      <c r="M40" s="26">
        <f>H40*Subsector!$S$16</f>
        <v>0</v>
      </c>
      <c r="N40" s="66">
        <f>H40*Subsector!$S$17</f>
        <v>0</v>
      </c>
      <c r="O40" s="41">
        <f t="shared" si="20"/>
        <v>0</v>
      </c>
      <c r="P40" s="26">
        <f t="shared" si="20"/>
        <v>0</v>
      </c>
      <c r="Q40" s="26">
        <f t="shared" si="21"/>
        <v>0</v>
      </c>
      <c r="R40" s="26">
        <f t="shared" si="22"/>
        <v>0</v>
      </c>
      <c r="S40" s="26">
        <f t="shared" si="23"/>
        <v>0</v>
      </c>
      <c r="T40" s="26">
        <f t="shared" si="23"/>
        <v>0</v>
      </c>
      <c r="U40" s="42">
        <f t="shared" si="24"/>
        <v>0</v>
      </c>
    </row>
    <row r="41" spans="1:21" ht="19.95" customHeight="1" x14ac:dyDescent="0.3">
      <c r="A41" s="55"/>
      <c r="B41" s="24"/>
      <c r="C41" s="24">
        <v>64054</v>
      </c>
      <c r="D41" s="25" t="s">
        <v>73</v>
      </c>
      <c r="E41" s="43"/>
      <c r="F41" s="27"/>
      <c r="G41" s="27"/>
      <c r="H41" s="44"/>
      <c r="I41" s="49">
        <f>H41*Subsector!$S$11</f>
        <v>0</v>
      </c>
      <c r="J41" s="26">
        <f>H41*Subsector!$S$12</f>
        <v>0</v>
      </c>
      <c r="K41" s="26">
        <f>H41*Subsector!$S$13</f>
        <v>0</v>
      </c>
      <c r="L41" s="26">
        <f>H41*Subsector!$S$15</f>
        <v>0</v>
      </c>
      <c r="M41" s="26">
        <f>H41*Subsector!$S$16</f>
        <v>0</v>
      </c>
      <c r="N41" s="66">
        <f>H41*Subsector!$S$17</f>
        <v>0</v>
      </c>
      <c r="O41" s="41">
        <f t="shared" si="20"/>
        <v>0</v>
      </c>
      <c r="P41" s="26">
        <f t="shared" si="20"/>
        <v>0</v>
      </c>
      <c r="Q41" s="26">
        <f t="shared" si="21"/>
        <v>0</v>
      </c>
      <c r="R41" s="26">
        <f t="shared" si="22"/>
        <v>0</v>
      </c>
      <c r="S41" s="26">
        <f t="shared" si="23"/>
        <v>0</v>
      </c>
      <c r="T41" s="26">
        <f t="shared" si="23"/>
        <v>0</v>
      </c>
      <c r="U41" s="42">
        <f t="shared" si="24"/>
        <v>0</v>
      </c>
    </row>
    <row r="42" spans="1:21" ht="19.95" customHeight="1" x14ac:dyDescent="0.3">
      <c r="A42" s="55"/>
      <c r="B42" s="24"/>
      <c r="C42" s="24">
        <v>64055</v>
      </c>
      <c r="D42" s="25" t="s">
        <v>74</v>
      </c>
      <c r="E42" s="43"/>
      <c r="F42" s="27"/>
      <c r="G42" s="27"/>
      <c r="H42" s="44"/>
      <c r="I42" s="49">
        <f>H42*Subsector!$S$11</f>
        <v>0</v>
      </c>
      <c r="J42" s="26">
        <f>H42*Subsector!$S$12</f>
        <v>0</v>
      </c>
      <c r="K42" s="26">
        <f>H42*Subsector!$S$13</f>
        <v>0</v>
      </c>
      <c r="L42" s="26">
        <f>H42*Subsector!$S$15</f>
        <v>0</v>
      </c>
      <c r="M42" s="26">
        <f>H42*Subsector!$S$16</f>
        <v>0</v>
      </c>
      <c r="N42" s="66">
        <f>H42*Subsector!$S$17</f>
        <v>0</v>
      </c>
      <c r="O42" s="41">
        <f t="shared" si="20"/>
        <v>0</v>
      </c>
      <c r="P42" s="26">
        <f t="shared" si="20"/>
        <v>0</v>
      </c>
      <c r="Q42" s="26">
        <f t="shared" si="21"/>
        <v>0</v>
      </c>
      <c r="R42" s="26">
        <f t="shared" si="22"/>
        <v>0</v>
      </c>
      <c r="S42" s="26">
        <f t="shared" si="23"/>
        <v>0</v>
      </c>
      <c r="T42" s="26">
        <f t="shared" si="23"/>
        <v>0</v>
      </c>
      <c r="U42" s="42">
        <f t="shared" si="24"/>
        <v>0</v>
      </c>
    </row>
    <row r="43" spans="1:21" ht="19.95" customHeight="1" x14ac:dyDescent="0.3">
      <c r="A43" s="55"/>
      <c r="B43" s="24"/>
      <c r="C43" s="24">
        <v>64056</v>
      </c>
      <c r="D43" s="25" t="s">
        <v>75</v>
      </c>
      <c r="E43" s="43"/>
      <c r="F43" s="27"/>
      <c r="G43" s="27"/>
      <c r="H43" s="44"/>
      <c r="I43" s="49">
        <f>H43*Subsector!$S$11</f>
        <v>0</v>
      </c>
      <c r="J43" s="26">
        <f>H43*Subsector!$S$12</f>
        <v>0</v>
      </c>
      <c r="K43" s="26">
        <f>H43*Subsector!$S$13</f>
        <v>0</v>
      </c>
      <c r="L43" s="26">
        <f>H43*Subsector!$S$15</f>
        <v>0</v>
      </c>
      <c r="M43" s="26">
        <f>H43*Subsector!$S$16</f>
        <v>0</v>
      </c>
      <c r="N43" s="66">
        <f>H43*Subsector!$S$17</f>
        <v>0</v>
      </c>
      <c r="O43" s="41">
        <f t="shared" si="20"/>
        <v>0</v>
      </c>
      <c r="P43" s="26">
        <f t="shared" si="20"/>
        <v>0</v>
      </c>
      <c r="Q43" s="26">
        <f t="shared" si="21"/>
        <v>0</v>
      </c>
      <c r="R43" s="26">
        <f t="shared" si="22"/>
        <v>0</v>
      </c>
      <c r="S43" s="26">
        <f t="shared" si="23"/>
        <v>0</v>
      </c>
      <c r="T43" s="26">
        <f t="shared" si="23"/>
        <v>0</v>
      </c>
      <c r="U43" s="42">
        <f t="shared" si="24"/>
        <v>0</v>
      </c>
    </row>
    <row r="44" spans="1:21" ht="19.95" customHeight="1" x14ac:dyDescent="0.3">
      <c r="A44" s="55"/>
      <c r="B44" s="24"/>
      <c r="C44" s="24">
        <v>64058</v>
      </c>
      <c r="D44" s="25" t="s">
        <v>76</v>
      </c>
      <c r="E44" s="43"/>
      <c r="F44" s="27"/>
      <c r="G44" s="27"/>
      <c r="H44" s="44"/>
      <c r="I44" s="49">
        <f>H44*Subsector!$S$11</f>
        <v>0</v>
      </c>
      <c r="J44" s="26">
        <f>H44*Subsector!$S$12</f>
        <v>0</v>
      </c>
      <c r="K44" s="26">
        <f>H44*Subsector!$S$13</f>
        <v>0</v>
      </c>
      <c r="L44" s="26">
        <f>H44*Subsector!$S$15</f>
        <v>0</v>
      </c>
      <c r="M44" s="26">
        <f>H44*Subsector!$S$16</f>
        <v>0</v>
      </c>
      <c r="N44" s="66">
        <f>H44*Subsector!$S$17</f>
        <v>0</v>
      </c>
      <c r="O44" s="41">
        <f t="shared" si="20"/>
        <v>0</v>
      </c>
      <c r="P44" s="26">
        <f t="shared" si="20"/>
        <v>0</v>
      </c>
      <c r="Q44" s="26">
        <f t="shared" si="21"/>
        <v>0</v>
      </c>
      <c r="R44" s="26">
        <f t="shared" si="22"/>
        <v>0</v>
      </c>
      <c r="S44" s="26">
        <f t="shared" si="23"/>
        <v>0</v>
      </c>
      <c r="T44" s="26">
        <f t="shared" si="23"/>
        <v>0</v>
      </c>
      <c r="U44" s="42">
        <f t="shared" si="24"/>
        <v>0</v>
      </c>
    </row>
    <row r="45" spans="1:21" ht="19.95" customHeight="1" x14ac:dyDescent="0.3">
      <c r="A45" s="54"/>
      <c r="B45" s="28">
        <v>6406</v>
      </c>
      <c r="C45" s="23"/>
      <c r="D45" s="21" t="s">
        <v>77</v>
      </c>
      <c r="E45" s="39">
        <f>SUM(E46:E49)</f>
        <v>0</v>
      </c>
      <c r="F45" s="22">
        <f t="shared" ref="F45:U45" si="25">SUM(F46:F49)</f>
        <v>0</v>
      </c>
      <c r="G45" s="22">
        <f t="shared" si="25"/>
        <v>0</v>
      </c>
      <c r="H45" s="40">
        <f t="shared" si="25"/>
        <v>0</v>
      </c>
      <c r="I45" s="36">
        <f t="shared" si="25"/>
        <v>0</v>
      </c>
      <c r="J45" s="22">
        <f t="shared" si="25"/>
        <v>0</v>
      </c>
      <c r="K45" s="22">
        <f t="shared" si="25"/>
        <v>0</v>
      </c>
      <c r="L45" s="22">
        <f t="shared" si="25"/>
        <v>0</v>
      </c>
      <c r="M45" s="22">
        <f t="shared" si="25"/>
        <v>0</v>
      </c>
      <c r="N45" s="65">
        <f t="shared" si="25"/>
        <v>0</v>
      </c>
      <c r="O45" s="39">
        <f t="shared" si="25"/>
        <v>0</v>
      </c>
      <c r="P45" s="22">
        <f t="shared" si="25"/>
        <v>0</v>
      </c>
      <c r="Q45" s="22">
        <f t="shared" si="25"/>
        <v>0</v>
      </c>
      <c r="R45" s="22">
        <f t="shared" si="25"/>
        <v>0</v>
      </c>
      <c r="S45" s="22">
        <f t="shared" si="25"/>
        <v>0</v>
      </c>
      <c r="T45" s="22">
        <f t="shared" si="25"/>
        <v>0</v>
      </c>
      <c r="U45" s="40">
        <f t="shared" si="25"/>
        <v>0</v>
      </c>
    </row>
    <row r="46" spans="1:21" ht="19.95" customHeight="1" x14ac:dyDescent="0.3">
      <c r="A46" s="55"/>
      <c r="B46" s="28"/>
      <c r="C46" s="24">
        <v>64061</v>
      </c>
      <c r="D46" s="25" t="s">
        <v>78</v>
      </c>
      <c r="E46" s="43"/>
      <c r="F46" s="27"/>
      <c r="G46" s="27"/>
      <c r="H46" s="44"/>
      <c r="I46" s="49">
        <f>H46*Subsector!$S$11</f>
        <v>0</v>
      </c>
      <c r="J46" s="26">
        <f>H46*Subsector!$S$12</f>
        <v>0</v>
      </c>
      <c r="K46" s="26">
        <f>H46*Subsector!$S$13</f>
        <v>0</v>
      </c>
      <c r="L46" s="26">
        <f>H46*Subsector!$S$15</f>
        <v>0</v>
      </c>
      <c r="M46" s="26">
        <f>H46*Subsector!$S$16</f>
        <v>0</v>
      </c>
      <c r="N46" s="66">
        <f>H46*Subsector!$S$17</f>
        <v>0</v>
      </c>
      <c r="O46" s="41">
        <f t="shared" ref="O46:P49" si="26">ROUNDUP(SUM(E46,I46),1)</f>
        <v>0</v>
      </c>
      <c r="P46" s="26">
        <f t="shared" si="26"/>
        <v>0</v>
      </c>
      <c r="Q46" s="26">
        <f>ROUNDUP(SUM(K46),1)</f>
        <v>0</v>
      </c>
      <c r="R46" s="26">
        <f>ROUNDUP(SUM(G46,L46),1)</f>
        <v>0</v>
      </c>
      <c r="S46" s="26">
        <f t="shared" ref="S46:T49" si="27">ROUNDUP(SUM(M46),1)</f>
        <v>0</v>
      </c>
      <c r="T46" s="26">
        <f t="shared" si="27"/>
        <v>0</v>
      </c>
      <c r="U46" s="42">
        <f>SUM(O46:T46)</f>
        <v>0</v>
      </c>
    </row>
    <row r="47" spans="1:21" ht="19.95" customHeight="1" x14ac:dyDescent="0.3">
      <c r="A47" s="55"/>
      <c r="B47" s="28"/>
      <c r="C47" s="24">
        <v>64063</v>
      </c>
      <c r="D47" s="25" t="s">
        <v>79</v>
      </c>
      <c r="E47" s="43"/>
      <c r="F47" s="27"/>
      <c r="G47" s="27"/>
      <c r="H47" s="44"/>
      <c r="I47" s="49">
        <f>H47*Subsector!$S$11</f>
        <v>0</v>
      </c>
      <c r="J47" s="26">
        <f>H47*Subsector!$S$12</f>
        <v>0</v>
      </c>
      <c r="K47" s="26">
        <f>H47*Subsector!$S$13</f>
        <v>0</v>
      </c>
      <c r="L47" s="26">
        <f>H47*Subsector!$S$15</f>
        <v>0</v>
      </c>
      <c r="M47" s="26">
        <f>H47*Subsector!$S$16</f>
        <v>0</v>
      </c>
      <c r="N47" s="66">
        <f>H47*Subsector!$S$17</f>
        <v>0</v>
      </c>
      <c r="O47" s="41">
        <f t="shared" si="26"/>
        <v>0</v>
      </c>
      <c r="P47" s="26">
        <f t="shared" si="26"/>
        <v>0</v>
      </c>
      <c r="Q47" s="26">
        <f>ROUNDUP(SUM(K47),1)</f>
        <v>0</v>
      </c>
      <c r="R47" s="26">
        <f>ROUNDUP(SUM(G47,L47),1)</f>
        <v>0</v>
      </c>
      <c r="S47" s="26">
        <f t="shared" si="27"/>
        <v>0</v>
      </c>
      <c r="T47" s="26">
        <f t="shared" si="27"/>
        <v>0</v>
      </c>
      <c r="U47" s="42">
        <f>SUM(O47:T47)</f>
        <v>0</v>
      </c>
    </row>
    <row r="48" spans="1:21" ht="19.95" customHeight="1" x14ac:dyDescent="0.3">
      <c r="A48" s="55"/>
      <c r="B48" s="24"/>
      <c r="C48" s="24">
        <v>64064</v>
      </c>
      <c r="D48" s="25" t="s">
        <v>80</v>
      </c>
      <c r="E48" s="43"/>
      <c r="F48" s="27"/>
      <c r="G48" s="27"/>
      <c r="H48" s="44"/>
      <c r="I48" s="49">
        <f>H48*Subsector!$S$11</f>
        <v>0</v>
      </c>
      <c r="J48" s="26">
        <f>H48*Subsector!$S$12</f>
        <v>0</v>
      </c>
      <c r="K48" s="26">
        <f>H48*Subsector!$S$13</f>
        <v>0</v>
      </c>
      <c r="L48" s="26">
        <f>H48*Subsector!$S$15</f>
        <v>0</v>
      </c>
      <c r="M48" s="26">
        <f>H48*Subsector!$S$16</f>
        <v>0</v>
      </c>
      <c r="N48" s="66">
        <f>H48*Subsector!$S$17</f>
        <v>0</v>
      </c>
      <c r="O48" s="41">
        <f t="shared" si="26"/>
        <v>0</v>
      </c>
      <c r="P48" s="26">
        <f t="shared" si="26"/>
        <v>0</v>
      </c>
      <c r="Q48" s="26">
        <f>ROUNDUP(SUM(K48),1)</f>
        <v>0</v>
      </c>
      <c r="R48" s="26">
        <f>ROUNDUP(SUM(G48,L48),1)</f>
        <v>0</v>
      </c>
      <c r="S48" s="26">
        <f t="shared" si="27"/>
        <v>0</v>
      </c>
      <c r="T48" s="26">
        <f t="shared" si="27"/>
        <v>0</v>
      </c>
      <c r="U48" s="42">
        <f>SUM(O48:T48)</f>
        <v>0</v>
      </c>
    </row>
    <row r="49" spans="1:21" ht="19.95" customHeight="1" x14ac:dyDescent="0.3">
      <c r="A49" s="55"/>
      <c r="B49" s="24"/>
      <c r="C49" s="24">
        <v>64068</v>
      </c>
      <c r="D49" s="25" t="s">
        <v>81</v>
      </c>
      <c r="E49" s="43"/>
      <c r="F49" s="27"/>
      <c r="G49" s="27"/>
      <c r="H49" s="44"/>
      <c r="I49" s="49">
        <f>H49*Subsector!$S$11</f>
        <v>0</v>
      </c>
      <c r="J49" s="26">
        <f>H49*Subsector!$S$12</f>
        <v>0</v>
      </c>
      <c r="K49" s="26">
        <f>H49*Subsector!$S$13</f>
        <v>0</v>
      </c>
      <c r="L49" s="26">
        <f>H49*Subsector!$S$15</f>
        <v>0</v>
      </c>
      <c r="M49" s="26">
        <f>H49*Subsector!$S$16</f>
        <v>0</v>
      </c>
      <c r="N49" s="66">
        <f>H49*Subsector!$S$17</f>
        <v>0</v>
      </c>
      <c r="O49" s="41">
        <f t="shared" si="26"/>
        <v>0</v>
      </c>
      <c r="P49" s="26">
        <f t="shared" si="26"/>
        <v>0</v>
      </c>
      <c r="Q49" s="26">
        <f>ROUNDUP(SUM(K49),1)</f>
        <v>0</v>
      </c>
      <c r="R49" s="26">
        <f>ROUNDUP(SUM(G49,L49),1)</f>
        <v>0</v>
      </c>
      <c r="S49" s="26">
        <f t="shared" si="27"/>
        <v>0</v>
      </c>
      <c r="T49" s="26">
        <f t="shared" si="27"/>
        <v>0</v>
      </c>
      <c r="U49" s="42">
        <f>SUM(O49:T49)</f>
        <v>0</v>
      </c>
    </row>
    <row r="50" spans="1:21" ht="19.95" customHeight="1" x14ac:dyDescent="0.3">
      <c r="A50" s="51"/>
      <c r="B50" s="28">
        <v>6407</v>
      </c>
      <c r="C50" s="28"/>
      <c r="D50" s="29" t="s">
        <v>82</v>
      </c>
      <c r="E50" s="39">
        <f>SUM(E51:E58)</f>
        <v>0</v>
      </c>
      <c r="F50" s="22">
        <f t="shared" ref="F50:U50" si="28">SUM(F51:F58)</f>
        <v>0</v>
      </c>
      <c r="G50" s="22">
        <f t="shared" si="28"/>
        <v>0</v>
      </c>
      <c r="H50" s="40">
        <f t="shared" si="28"/>
        <v>0</v>
      </c>
      <c r="I50" s="36">
        <f t="shared" si="28"/>
        <v>0</v>
      </c>
      <c r="J50" s="22">
        <f t="shared" si="28"/>
        <v>0</v>
      </c>
      <c r="K50" s="22">
        <f t="shared" si="28"/>
        <v>0</v>
      </c>
      <c r="L50" s="22">
        <f t="shared" si="28"/>
        <v>0</v>
      </c>
      <c r="M50" s="22">
        <f t="shared" si="28"/>
        <v>0</v>
      </c>
      <c r="N50" s="65">
        <f t="shared" si="28"/>
        <v>0</v>
      </c>
      <c r="O50" s="39">
        <f t="shared" si="28"/>
        <v>0</v>
      </c>
      <c r="P50" s="22">
        <f t="shared" si="28"/>
        <v>0</v>
      </c>
      <c r="Q50" s="22">
        <f t="shared" si="28"/>
        <v>0</v>
      </c>
      <c r="R50" s="22">
        <f t="shared" si="28"/>
        <v>0</v>
      </c>
      <c r="S50" s="22">
        <f t="shared" si="28"/>
        <v>0</v>
      </c>
      <c r="T50" s="22">
        <f t="shared" si="28"/>
        <v>0</v>
      </c>
      <c r="U50" s="40">
        <f t="shared" si="28"/>
        <v>0</v>
      </c>
    </row>
    <row r="51" spans="1:21" ht="19.95" customHeight="1" x14ac:dyDescent="0.3">
      <c r="A51" s="52"/>
      <c r="B51" s="28"/>
      <c r="C51" s="30">
        <v>64071</v>
      </c>
      <c r="D51" s="31" t="s">
        <v>83</v>
      </c>
      <c r="E51" s="43"/>
      <c r="F51" s="27"/>
      <c r="G51" s="27"/>
      <c r="H51" s="44"/>
      <c r="I51" s="49">
        <f>H51*Subsector!$S$11</f>
        <v>0</v>
      </c>
      <c r="J51" s="26">
        <f>H51*Subsector!$S$12</f>
        <v>0</v>
      </c>
      <c r="K51" s="26">
        <f>H51*Subsector!$S$13</f>
        <v>0</v>
      </c>
      <c r="L51" s="26">
        <f>H51*Subsector!$S$15</f>
        <v>0</v>
      </c>
      <c r="M51" s="26">
        <f>H51*Subsector!$S$16</f>
        <v>0</v>
      </c>
      <c r="N51" s="66">
        <f>H51*Subsector!$S$17</f>
        <v>0</v>
      </c>
      <c r="O51" s="41">
        <f t="shared" ref="O51:P58" si="29">ROUNDUP(SUM(E51,I51),1)</f>
        <v>0</v>
      </c>
      <c r="P51" s="26">
        <f t="shared" si="29"/>
        <v>0</v>
      </c>
      <c r="Q51" s="26">
        <f t="shared" ref="Q51:Q58" si="30">ROUNDUP(SUM(K51),1)</f>
        <v>0</v>
      </c>
      <c r="R51" s="26">
        <f t="shared" ref="R51:R58" si="31">ROUNDUP(SUM(G51,L51),1)</f>
        <v>0</v>
      </c>
      <c r="S51" s="26">
        <f t="shared" ref="S51:T58" si="32">ROUNDUP(SUM(M51),1)</f>
        <v>0</v>
      </c>
      <c r="T51" s="26">
        <f t="shared" si="32"/>
        <v>0</v>
      </c>
      <c r="U51" s="42">
        <f t="shared" ref="U51:U58" si="33">SUM(O51:T51)</f>
        <v>0</v>
      </c>
    </row>
    <row r="52" spans="1:21" ht="19.95" customHeight="1" x14ac:dyDescent="0.3">
      <c r="A52" s="52"/>
      <c r="B52" s="28"/>
      <c r="C52" s="30">
        <v>64072</v>
      </c>
      <c r="D52" s="31" t="s">
        <v>84</v>
      </c>
      <c r="E52" s="43"/>
      <c r="F52" s="27"/>
      <c r="G52" s="27"/>
      <c r="H52" s="44"/>
      <c r="I52" s="49">
        <f>H52*Subsector!$S$11</f>
        <v>0</v>
      </c>
      <c r="J52" s="26">
        <f>H52*Subsector!$S$12</f>
        <v>0</v>
      </c>
      <c r="K52" s="26">
        <f>H52*Subsector!$S$13</f>
        <v>0</v>
      </c>
      <c r="L52" s="26">
        <f>H52*Subsector!$S$15</f>
        <v>0</v>
      </c>
      <c r="M52" s="26">
        <f>H52*Subsector!$S$16</f>
        <v>0</v>
      </c>
      <c r="N52" s="66">
        <f>H52*Subsector!$S$17</f>
        <v>0</v>
      </c>
      <c r="O52" s="41">
        <f t="shared" si="29"/>
        <v>0</v>
      </c>
      <c r="P52" s="26">
        <f t="shared" si="29"/>
        <v>0</v>
      </c>
      <c r="Q52" s="26">
        <f t="shared" si="30"/>
        <v>0</v>
      </c>
      <c r="R52" s="26">
        <f t="shared" si="31"/>
        <v>0</v>
      </c>
      <c r="S52" s="26">
        <f t="shared" si="32"/>
        <v>0</v>
      </c>
      <c r="T52" s="26">
        <f t="shared" si="32"/>
        <v>0</v>
      </c>
      <c r="U52" s="42">
        <f t="shared" si="33"/>
        <v>0</v>
      </c>
    </row>
    <row r="53" spans="1:21" ht="19.95" customHeight="1" x14ac:dyDescent="0.3">
      <c r="A53" s="52"/>
      <c r="B53" s="28"/>
      <c r="C53" s="30">
        <v>64073</v>
      </c>
      <c r="D53" s="31" t="s">
        <v>85</v>
      </c>
      <c r="E53" s="43"/>
      <c r="F53" s="27"/>
      <c r="G53" s="27"/>
      <c r="H53" s="44"/>
      <c r="I53" s="49">
        <f>H53*Subsector!$S$11</f>
        <v>0</v>
      </c>
      <c r="J53" s="26">
        <f>H53*Subsector!$S$12</f>
        <v>0</v>
      </c>
      <c r="K53" s="26">
        <f>H53*Subsector!$S$13</f>
        <v>0</v>
      </c>
      <c r="L53" s="26">
        <f>H53*Subsector!$S$15</f>
        <v>0</v>
      </c>
      <c r="M53" s="26">
        <f>H53*Subsector!$S$16</f>
        <v>0</v>
      </c>
      <c r="N53" s="66">
        <f>H53*Subsector!$S$17</f>
        <v>0</v>
      </c>
      <c r="O53" s="41">
        <f t="shared" si="29"/>
        <v>0</v>
      </c>
      <c r="P53" s="26">
        <f t="shared" si="29"/>
        <v>0</v>
      </c>
      <c r="Q53" s="26">
        <f t="shared" si="30"/>
        <v>0</v>
      </c>
      <c r="R53" s="26">
        <f t="shared" si="31"/>
        <v>0</v>
      </c>
      <c r="S53" s="26">
        <f t="shared" si="32"/>
        <v>0</v>
      </c>
      <c r="T53" s="26">
        <f t="shared" si="32"/>
        <v>0</v>
      </c>
      <c r="U53" s="42">
        <f t="shared" si="33"/>
        <v>0</v>
      </c>
    </row>
    <row r="54" spans="1:21" ht="19.95" customHeight="1" x14ac:dyDescent="0.3">
      <c r="A54" s="52"/>
      <c r="B54" s="24"/>
      <c r="C54" s="30">
        <v>64074</v>
      </c>
      <c r="D54" s="25" t="s">
        <v>86</v>
      </c>
      <c r="E54" s="43"/>
      <c r="F54" s="27"/>
      <c r="G54" s="27"/>
      <c r="H54" s="44"/>
      <c r="I54" s="49">
        <f>H54*Subsector!$S$11</f>
        <v>0</v>
      </c>
      <c r="J54" s="26">
        <f>H54*Subsector!$S$12</f>
        <v>0</v>
      </c>
      <c r="K54" s="26">
        <f>H54*Subsector!$S$13</f>
        <v>0</v>
      </c>
      <c r="L54" s="26">
        <f>H54*Subsector!$S$15</f>
        <v>0</v>
      </c>
      <c r="M54" s="26">
        <f>H54*Subsector!$S$16</f>
        <v>0</v>
      </c>
      <c r="N54" s="66">
        <f>H54*Subsector!$S$17</f>
        <v>0</v>
      </c>
      <c r="O54" s="41">
        <f t="shared" si="29"/>
        <v>0</v>
      </c>
      <c r="P54" s="26">
        <f t="shared" si="29"/>
        <v>0</v>
      </c>
      <c r="Q54" s="26">
        <f t="shared" si="30"/>
        <v>0</v>
      </c>
      <c r="R54" s="26">
        <f t="shared" si="31"/>
        <v>0</v>
      </c>
      <c r="S54" s="26">
        <f t="shared" si="32"/>
        <v>0</v>
      </c>
      <c r="T54" s="26">
        <f t="shared" si="32"/>
        <v>0</v>
      </c>
      <c r="U54" s="42">
        <f t="shared" si="33"/>
        <v>0</v>
      </c>
    </row>
    <row r="55" spans="1:21" ht="19.95" customHeight="1" x14ac:dyDescent="0.3">
      <c r="A55" s="52"/>
      <c r="B55" s="28"/>
      <c r="C55" s="30">
        <v>64075</v>
      </c>
      <c r="D55" s="31" t="s">
        <v>48</v>
      </c>
      <c r="E55" s="43"/>
      <c r="F55" s="27"/>
      <c r="G55" s="27"/>
      <c r="H55" s="44"/>
      <c r="I55" s="49">
        <f>H55*Subsector!$S$11</f>
        <v>0</v>
      </c>
      <c r="J55" s="26">
        <f>H55*Subsector!$S$12</f>
        <v>0</v>
      </c>
      <c r="K55" s="26">
        <f>H55*Subsector!$S$13</f>
        <v>0</v>
      </c>
      <c r="L55" s="26">
        <f>H55*Subsector!$S$15</f>
        <v>0</v>
      </c>
      <c r="M55" s="26">
        <f>H55*Subsector!$S$16</f>
        <v>0</v>
      </c>
      <c r="N55" s="66">
        <f>H55*Subsector!$S$17</f>
        <v>0</v>
      </c>
      <c r="O55" s="41">
        <f t="shared" si="29"/>
        <v>0</v>
      </c>
      <c r="P55" s="26">
        <f t="shared" si="29"/>
        <v>0</v>
      </c>
      <c r="Q55" s="26">
        <f t="shared" si="30"/>
        <v>0</v>
      </c>
      <c r="R55" s="26">
        <f t="shared" si="31"/>
        <v>0</v>
      </c>
      <c r="S55" s="26">
        <f t="shared" si="32"/>
        <v>0</v>
      </c>
      <c r="T55" s="26">
        <f t="shared" si="32"/>
        <v>0</v>
      </c>
      <c r="U55" s="42">
        <f t="shared" si="33"/>
        <v>0</v>
      </c>
    </row>
    <row r="56" spans="1:21" ht="19.95" customHeight="1" x14ac:dyDescent="0.3">
      <c r="A56" s="52"/>
      <c r="B56" s="28"/>
      <c r="C56" s="30">
        <v>64076</v>
      </c>
      <c r="D56" s="31" t="s">
        <v>49</v>
      </c>
      <c r="E56" s="43"/>
      <c r="F56" s="27"/>
      <c r="G56" s="27"/>
      <c r="H56" s="44"/>
      <c r="I56" s="49">
        <f>H56*Subsector!$S$11</f>
        <v>0</v>
      </c>
      <c r="J56" s="26">
        <f>H56*Subsector!$S$12</f>
        <v>0</v>
      </c>
      <c r="K56" s="26">
        <f>H56*Subsector!$S$13</f>
        <v>0</v>
      </c>
      <c r="L56" s="26">
        <f>H56*Subsector!$S$15</f>
        <v>0</v>
      </c>
      <c r="M56" s="26">
        <f>H56*Subsector!$S$16</f>
        <v>0</v>
      </c>
      <c r="N56" s="66">
        <f>H56*Subsector!$S$17</f>
        <v>0</v>
      </c>
      <c r="O56" s="41">
        <f t="shared" si="29"/>
        <v>0</v>
      </c>
      <c r="P56" s="26">
        <f t="shared" si="29"/>
        <v>0</v>
      </c>
      <c r="Q56" s="26">
        <f t="shared" si="30"/>
        <v>0</v>
      </c>
      <c r="R56" s="26">
        <f t="shared" si="31"/>
        <v>0</v>
      </c>
      <c r="S56" s="26">
        <f t="shared" si="32"/>
        <v>0</v>
      </c>
      <c r="T56" s="26">
        <f t="shared" si="32"/>
        <v>0</v>
      </c>
      <c r="U56" s="42">
        <f t="shared" si="33"/>
        <v>0</v>
      </c>
    </row>
    <row r="57" spans="1:21" ht="19.95" customHeight="1" x14ac:dyDescent="0.3">
      <c r="A57" s="52"/>
      <c r="B57" s="28"/>
      <c r="C57" s="30">
        <v>64077</v>
      </c>
      <c r="D57" s="31" t="s">
        <v>50</v>
      </c>
      <c r="E57" s="43"/>
      <c r="F57" s="27"/>
      <c r="G57" s="27"/>
      <c r="H57" s="44"/>
      <c r="I57" s="49">
        <f>H57*Subsector!$S$11</f>
        <v>0</v>
      </c>
      <c r="J57" s="26">
        <f>H57*Subsector!$S$12</f>
        <v>0</v>
      </c>
      <c r="K57" s="26">
        <f>H57*Subsector!$S$13</f>
        <v>0</v>
      </c>
      <c r="L57" s="26">
        <f>H57*Subsector!$S$15</f>
        <v>0</v>
      </c>
      <c r="M57" s="26">
        <f>H57*Subsector!$S$16</f>
        <v>0</v>
      </c>
      <c r="N57" s="66">
        <f>H57*Subsector!$S$17</f>
        <v>0</v>
      </c>
      <c r="O57" s="41">
        <f t="shared" si="29"/>
        <v>0</v>
      </c>
      <c r="P57" s="26">
        <f t="shared" si="29"/>
        <v>0</v>
      </c>
      <c r="Q57" s="26">
        <f t="shared" si="30"/>
        <v>0</v>
      </c>
      <c r="R57" s="26">
        <f t="shared" si="31"/>
        <v>0</v>
      </c>
      <c r="S57" s="26">
        <f t="shared" si="32"/>
        <v>0</v>
      </c>
      <c r="T57" s="26">
        <f t="shared" si="32"/>
        <v>0</v>
      </c>
      <c r="U57" s="42">
        <f t="shared" si="33"/>
        <v>0</v>
      </c>
    </row>
    <row r="58" spans="1:21" ht="19.95" customHeight="1" x14ac:dyDescent="0.3">
      <c r="A58" s="52"/>
      <c r="B58" s="28"/>
      <c r="C58" s="30">
        <v>64078</v>
      </c>
      <c r="D58" s="31" t="s">
        <v>87</v>
      </c>
      <c r="E58" s="43"/>
      <c r="F58" s="27"/>
      <c r="G58" s="27"/>
      <c r="H58" s="44"/>
      <c r="I58" s="49">
        <f>H58*Subsector!$S$11</f>
        <v>0</v>
      </c>
      <c r="J58" s="26">
        <f>H58*Subsector!$S$12</f>
        <v>0</v>
      </c>
      <c r="K58" s="26">
        <f>H58*Subsector!$S$13</f>
        <v>0</v>
      </c>
      <c r="L58" s="26">
        <f>H58*Subsector!$S$15</f>
        <v>0</v>
      </c>
      <c r="M58" s="26">
        <f>H58*Subsector!$S$16</f>
        <v>0</v>
      </c>
      <c r="N58" s="66">
        <f>H58*Subsector!$S$17</f>
        <v>0</v>
      </c>
      <c r="O58" s="41">
        <f t="shared" si="29"/>
        <v>0</v>
      </c>
      <c r="P58" s="26">
        <f t="shared" si="29"/>
        <v>0</v>
      </c>
      <c r="Q58" s="26">
        <f t="shared" si="30"/>
        <v>0</v>
      </c>
      <c r="R58" s="26">
        <f t="shared" si="31"/>
        <v>0</v>
      </c>
      <c r="S58" s="26">
        <f t="shared" si="32"/>
        <v>0</v>
      </c>
      <c r="T58" s="26">
        <f t="shared" si="32"/>
        <v>0</v>
      </c>
      <c r="U58" s="42">
        <f t="shared" si="33"/>
        <v>0</v>
      </c>
    </row>
    <row r="59" spans="1:21" ht="19.95" customHeight="1" x14ac:dyDescent="0.3">
      <c r="A59" s="51"/>
      <c r="B59" s="28">
        <v>6498</v>
      </c>
      <c r="C59" s="28"/>
      <c r="D59" s="29" t="s">
        <v>88</v>
      </c>
      <c r="E59" s="39">
        <f>SUM(E60)</f>
        <v>0</v>
      </c>
      <c r="F59" s="22">
        <f t="shared" ref="F59:U59" si="34">SUM(F60)</f>
        <v>0</v>
      </c>
      <c r="G59" s="22">
        <f>SUM(G60)</f>
        <v>0</v>
      </c>
      <c r="H59" s="40">
        <f t="shared" si="34"/>
        <v>0</v>
      </c>
      <c r="I59" s="36">
        <f t="shared" si="34"/>
        <v>0</v>
      </c>
      <c r="J59" s="22">
        <f t="shared" si="34"/>
        <v>0</v>
      </c>
      <c r="K59" s="22">
        <f t="shared" si="34"/>
        <v>0</v>
      </c>
      <c r="L59" s="22">
        <f t="shared" si="34"/>
        <v>0</v>
      </c>
      <c r="M59" s="22">
        <f t="shared" si="34"/>
        <v>0</v>
      </c>
      <c r="N59" s="65">
        <f t="shared" si="34"/>
        <v>0</v>
      </c>
      <c r="O59" s="39">
        <f t="shared" si="34"/>
        <v>0</v>
      </c>
      <c r="P59" s="22">
        <f t="shared" si="34"/>
        <v>0</v>
      </c>
      <c r="Q59" s="22">
        <f t="shared" si="34"/>
        <v>0</v>
      </c>
      <c r="R59" s="22">
        <f t="shared" si="34"/>
        <v>0</v>
      </c>
      <c r="S59" s="22">
        <f t="shared" si="34"/>
        <v>0</v>
      </c>
      <c r="T59" s="22">
        <f t="shared" si="34"/>
        <v>0</v>
      </c>
      <c r="U59" s="40">
        <f t="shared" si="34"/>
        <v>0</v>
      </c>
    </row>
    <row r="60" spans="1:21" ht="19.95" customHeight="1" thickBot="1" x14ac:dyDescent="0.35">
      <c r="A60" s="56"/>
      <c r="B60" s="57"/>
      <c r="C60" s="58">
        <v>64981</v>
      </c>
      <c r="D60" s="59" t="s">
        <v>88</v>
      </c>
      <c r="E60" s="68"/>
      <c r="F60" s="69"/>
      <c r="G60" s="69"/>
      <c r="H60" s="70"/>
      <c r="I60" s="63">
        <f>H60*Subsector!$S$11</f>
        <v>0</v>
      </c>
      <c r="J60" s="61">
        <f>H60*Subsector!$S$12</f>
        <v>0</v>
      </c>
      <c r="K60" s="61">
        <f>H60*Subsector!$S$13</f>
        <v>0</v>
      </c>
      <c r="L60" s="61">
        <f>H60*Subsector!$S$15</f>
        <v>0</v>
      </c>
      <c r="M60" s="61">
        <f>H60*Subsector!$S$16</f>
        <v>0</v>
      </c>
      <c r="N60" s="67">
        <f>H60*Subsector!$S$17</f>
        <v>0</v>
      </c>
      <c r="O60" s="60">
        <f>ROUNDUP(SUM(E60,I60),1)</f>
        <v>0</v>
      </c>
      <c r="P60" s="61">
        <f>ROUNDUP(SUM(F60,J60),1)</f>
        <v>0</v>
      </c>
      <c r="Q60" s="61">
        <f>ROUNDUP(SUM(K60),1)</f>
        <v>0</v>
      </c>
      <c r="R60" s="61">
        <f>ROUNDUP(SUM(G60,L60),1)</f>
        <v>0</v>
      </c>
      <c r="S60" s="61">
        <f>ROUNDUP(SUM(M60),1)</f>
        <v>0</v>
      </c>
      <c r="T60" s="61">
        <f>ROUNDUP(SUM(N60),1)</f>
        <v>0</v>
      </c>
      <c r="U60" s="62">
        <f>SUM(O60:T60)</f>
        <v>0</v>
      </c>
    </row>
  </sheetData>
  <sheetProtection algorithmName="SHA-512" hashValue="tuWXVkkNQbH1+naPiRCYoZEKTkYKBVPTLW0jEo7YIWTXggIdUofhpfg3BDjrDaLq64daCi3PFqstT3TtMPIg4Q==" saltValue="14vPyHo1zMUR2SlfbHtbrQ==" spinCount="100000" sheet="1" formatCells="0" formatColumns="0" formatRows="0" sort="0" autoFilter="0" pivotTables="0"/>
  <mergeCells count="8">
    <mergeCell ref="A3:U3"/>
    <mergeCell ref="A5:A7"/>
    <mergeCell ref="B5:B7"/>
    <mergeCell ref="C5:C7"/>
    <mergeCell ref="D5:D7"/>
    <mergeCell ref="E5:H5"/>
    <mergeCell ref="I5:N6"/>
    <mergeCell ref="O5:U6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29F50-A2B9-44DF-855C-60EF957F7BAA}">
  <sheetPr codeName="Sheet13"/>
  <dimension ref="A1:U60"/>
  <sheetViews>
    <sheetView zoomScale="70" zoomScaleNormal="70" workbookViewId="0">
      <selection activeCell="A4" sqref="A4"/>
    </sheetView>
  </sheetViews>
  <sheetFormatPr defaultRowHeight="14.4" x14ac:dyDescent="0.3"/>
  <cols>
    <col min="1" max="1" width="6" customWidth="1"/>
    <col min="2" max="2" width="6.5546875" customWidth="1"/>
    <col min="3" max="3" width="9.44140625" customWidth="1"/>
    <col min="4" max="4" width="48.77734375" customWidth="1"/>
    <col min="5" max="9" width="8.21875" customWidth="1"/>
    <col min="10" max="21" width="8.77734375" customWidth="1"/>
  </cols>
  <sheetData>
    <row r="1" spans="1:21" ht="21.45" customHeight="1" x14ac:dyDescent="0.3"/>
    <row r="2" spans="1:21" ht="21.45" customHeight="1" x14ac:dyDescent="0.3"/>
    <row r="3" spans="1:21" ht="36.450000000000003" customHeight="1" x14ac:dyDescent="0.3">
      <c r="A3" s="108" t="s">
        <v>98</v>
      </c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</row>
    <row r="4" spans="1:21" ht="21.45" customHeight="1" thickBot="1" x14ac:dyDescent="0.35"/>
    <row r="5" spans="1:21" ht="43.5" customHeight="1" x14ac:dyDescent="0.3">
      <c r="A5" s="123" t="s">
        <v>39</v>
      </c>
      <c r="B5" s="121" t="s">
        <v>40</v>
      </c>
      <c r="C5" s="121" t="s">
        <v>41</v>
      </c>
      <c r="D5" s="119" t="s">
        <v>42</v>
      </c>
      <c r="E5" s="125" t="s">
        <v>99</v>
      </c>
      <c r="F5" s="126"/>
      <c r="G5" s="126"/>
      <c r="H5" s="127"/>
      <c r="I5" s="140" t="s">
        <v>94</v>
      </c>
      <c r="J5" s="141"/>
      <c r="K5" s="141"/>
      <c r="L5" s="141"/>
      <c r="M5" s="141"/>
      <c r="N5" s="142"/>
      <c r="O5" s="134" t="s">
        <v>95</v>
      </c>
      <c r="P5" s="135"/>
      <c r="Q5" s="135"/>
      <c r="R5" s="135"/>
      <c r="S5" s="135"/>
      <c r="T5" s="135"/>
      <c r="U5" s="136"/>
    </row>
    <row r="6" spans="1:21" ht="43.05" customHeight="1" x14ac:dyDescent="0.8">
      <c r="A6" s="124"/>
      <c r="B6" s="122"/>
      <c r="C6" s="122"/>
      <c r="D6" s="120"/>
      <c r="E6" s="45"/>
      <c r="F6" s="46"/>
      <c r="G6" s="46"/>
      <c r="H6" s="47"/>
      <c r="I6" s="143"/>
      <c r="J6" s="144"/>
      <c r="K6" s="144"/>
      <c r="L6" s="144"/>
      <c r="M6" s="144"/>
      <c r="N6" s="145"/>
      <c r="O6" s="137"/>
      <c r="P6" s="138"/>
      <c r="Q6" s="138"/>
      <c r="R6" s="138"/>
      <c r="S6" s="138"/>
      <c r="T6" s="138"/>
      <c r="U6" s="139"/>
    </row>
    <row r="7" spans="1:21" ht="132.44999999999999" customHeight="1" x14ac:dyDescent="0.3">
      <c r="A7" s="124"/>
      <c r="B7" s="122"/>
      <c r="C7" s="122"/>
      <c r="D7" s="120"/>
      <c r="E7" s="78" t="s">
        <v>25</v>
      </c>
      <c r="F7" s="74" t="s">
        <v>26</v>
      </c>
      <c r="G7" s="74" t="s">
        <v>29</v>
      </c>
      <c r="H7" s="79" t="s">
        <v>91</v>
      </c>
      <c r="I7" s="77" t="s">
        <v>25</v>
      </c>
      <c r="J7" s="75" t="s">
        <v>26</v>
      </c>
      <c r="K7" s="75" t="s">
        <v>27</v>
      </c>
      <c r="L7" s="75" t="s">
        <v>29</v>
      </c>
      <c r="M7" s="75" t="s">
        <v>30</v>
      </c>
      <c r="N7" s="80" t="s">
        <v>31</v>
      </c>
      <c r="O7" s="81" t="s">
        <v>25</v>
      </c>
      <c r="P7" s="76" t="s">
        <v>26</v>
      </c>
      <c r="Q7" s="76" t="s">
        <v>27</v>
      </c>
      <c r="R7" s="76" t="s">
        <v>29</v>
      </c>
      <c r="S7" s="76" t="s">
        <v>30</v>
      </c>
      <c r="T7" s="76" t="s">
        <v>31</v>
      </c>
      <c r="U7" s="82" t="s">
        <v>12</v>
      </c>
    </row>
    <row r="8" spans="1:21" ht="19.95" customHeight="1" x14ac:dyDescent="0.3">
      <c r="A8" s="50">
        <v>64</v>
      </c>
      <c r="B8" s="32"/>
      <c r="C8" s="32"/>
      <c r="D8" s="33" t="s">
        <v>43</v>
      </c>
      <c r="E8" s="37">
        <f>SUM(E9,E18,E27,E33,E37,E45,E50,E59)</f>
        <v>0</v>
      </c>
      <c r="F8" s="34">
        <f t="shared" ref="F8:U8" si="0">SUM(F9,F18,F27,F33,F37,F45,F50,F59)</f>
        <v>0</v>
      </c>
      <c r="G8" s="34">
        <f t="shared" si="0"/>
        <v>0</v>
      </c>
      <c r="H8" s="38">
        <f t="shared" si="0"/>
        <v>0</v>
      </c>
      <c r="I8" s="35">
        <f t="shared" si="0"/>
        <v>0</v>
      </c>
      <c r="J8" s="34">
        <f t="shared" si="0"/>
        <v>0</v>
      </c>
      <c r="K8" s="34">
        <f t="shared" si="0"/>
        <v>0</v>
      </c>
      <c r="L8" s="34">
        <f t="shared" si="0"/>
        <v>0</v>
      </c>
      <c r="M8" s="34">
        <f t="shared" si="0"/>
        <v>0</v>
      </c>
      <c r="N8" s="64">
        <f t="shared" si="0"/>
        <v>0</v>
      </c>
      <c r="O8" s="37">
        <f t="shared" si="0"/>
        <v>0</v>
      </c>
      <c r="P8" s="34">
        <f t="shared" si="0"/>
        <v>0</v>
      </c>
      <c r="Q8" s="34">
        <f t="shared" si="0"/>
        <v>0</v>
      </c>
      <c r="R8" s="34">
        <f t="shared" si="0"/>
        <v>0</v>
      </c>
      <c r="S8" s="34">
        <f t="shared" si="0"/>
        <v>0</v>
      </c>
      <c r="T8" s="34">
        <f t="shared" si="0"/>
        <v>0</v>
      </c>
      <c r="U8" s="38">
        <f t="shared" si="0"/>
        <v>0</v>
      </c>
    </row>
    <row r="9" spans="1:21" ht="19.95" customHeight="1" x14ac:dyDescent="0.3">
      <c r="A9" s="51"/>
      <c r="B9" s="23">
        <v>6401</v>
      </c>
      <c r="C9" s="23"/>
      <c r="D9" s="21" t="s">
        <v>90</v>
      </c>
      <c r="E9" s="39">
        <f>SUM(E10:E17)</f>
        <v>0</v>
      </c>
      <c r="F9" s="22">
        <f>SUM(F10:F17)</f>
        <v>0</v>
      </c>
      <c r="G9" s="22">
        <f t="shared" ref="G9:U9" si="1">SUM(G10:G17)</f>
        <v>0</v>
      </c>
      <c r="H9" s="40">
        <f t="shared" si="1"/>
        <v>0</v>
      </c>
      <c r="I9" s="36">
        <f t="shared" si="1"/>
        <v>0</v>
      </c>
      <c r="J9" s="22">
        <f t="shared" si="1"/>
        <v>0</v>
      </c>
      <c r="K9" s="22">
        <f t="shared" si="1"/>
        <v>0</v>
      </c>
      <c r="L9" s="22">
        <f t="shared" si="1"/>
        <v>0</v>
      </c>
      <c r="M9" s="22">
        <f t="shared" si="1"/>
        <v>0</v>
      </c>
      <c r="N9" s="65">
        <f t="shared" si="1"/>
        <v>0</v>
      </c>
      <c r="O9" s="39">
        <f>SUM(O10:O17)</f>
        <v>0</v>
      </c>
      <c r="P9" s="22">
        <f t="shared" si="1"/>
        <v>0</v>
      </c>
      <c r="Q9" s="22">
        <f t="shared" si="1"/>
        <v>0</v>
      </c>
      <c r="R9" s="22">
        <f t="shared" si="1"/>
        <v>0</v>
      </c>
      <c r="S9" s="22">
        <f t="shared" si="1"/>
        <v>0</v>
      </c>
      <c r="T9" s="22">
        <f t="shared" si="1"/>
        <v>0</v>
      </c>
      <c r="U9" s="40">
        <f t="shared" si="1"/>
        <v>0</v>
      </c>
    </row>
    <row r="10" spans="1:21" ht="19.95" customHeight="1" x14ac:dyDescent="0.3">
      <c r="A10" s="52"/>
      <c r="B10" s="24"/>
      <c r="C10" s="24">
        <v>64011</v>
      </c>
      <c r="D10" s="25" t="s">
        <v>44</v>
      </c>
      <c r="E10" s="43"/>
      <c r="F10" s="27"/>
      <c r="G10" s="27"/>
      <c r="H10" s="44"/>
      <c r="I10" s="49">
        <f>H10*Subsector!$S$11</f>
        <v>0</v>
      </c>
      <c r="J10" s="26">
        <f>H10*Subsector!$S$12</f>
        <v>0</v>
      </c>
      <c r="K10" s="26">
        <f>H10*Subsector!$S$13</f>
        <v>0</v>
      </c>
      <c r="L10" s="26">
        <f>H10*Subsector!$S$15</f>
        <v>0</v>
      </c>
      <c r="M10" s="26">
        <f>H10*Subsector!$S$16</f>
        <v>0</v>
      </c>
      <c r="N10" s="66">
        <f>H10*Subsector!$S$17</f>
        <v>0</v>
      </c>
      <c r="O10" s="41">
        <f t="shared" ref="O10:P17" si="2">ROUNDUP(SUM(E10,I10),1)</f>
        <v>0</v>
      </c>
      <c r="P10" s="26">
        <f t="shared" si="2"/>
        <v>0</v>
      </c>
      <c r="Q10" s="26">
        <f t="shared" ref="Q10:Q17" si="3">ROUNDUP(SUM(K10),1)</f>
        <v>0</v>
      </c>
      <c r="R10" s="26">
        <f t="shared" ref="R10:R17" si="4">ROUNDUP(SUM(G10,L10),1)</f>
        <v>0</v>
      </c>
      <c r="S10" s="26">
        <f t="shared" ref="S10:T17" si="5">ROUNDUP(SUM(M10),1)</f>
        <v>0</v>
      </c>
      <c r="T10" s="26">
        <f t="shared" si="5"/>
        <v>0</v>
      </c>
      <c r="U10" s="42">
        <f t="shared" ref="U10:U17" si="6">SUM(O10:T10)</f>
        <v>0</v>
      </c>
    </row>
    <row r="11" spans="1:21" ht="19.95" customHeight="1" x14ac:dyDescent="0.3">
      <c r="A11" s="52"/>
      <c r="B11" s="24"/>
      <c r="C11" s="24">
        <v>64012</v>
      </c>
      <c r="D11" s="25" t="s">
        <v>89</v>
      </c>
      <c r="E11" s="43"/>
      <c r="F11" s="27"/>
      <c r="G11" s="27"/>
      <c r="H11" s="44"/>
      <c r="I11" s="49">
        <f>H11*Subsector!$S$11</f>
        <v>0</v>
      </c>
      <c r="J11" s="26">
        <f>H11*Subsector!$S$12</f>
        <v>0</v>
      </c>
      <c r="K11" s="26">
        <f>H11*Subsector!$S$13</f>
        <v>0</v>
      </c>
      <c r="L11" s="26">
        <f>H11*Subsector!$S$15</f>
        <v>0</v>
      </c>
      <c r="M11" s="26">
        <f>H11*Subsector!$S$16</f>
        <v>0</v>
      </c>
      <c r="N11" s="66">
        <f>H11*Subsector!$S$17</f>
        <v>0</v>
      </c>
      <c r="O11" s="41">
        <f t="shared" si="2"/>
        <v>0</v>
      </c>
      <c r="P11" s="26">
        <f t="shared" si="2"/>
        <v>0</v>
      </c>
      <c r="Q11" s="26">
        <f t="shared" si="3"/>
        <v>0</v>
      </c>
      <c r="R11" s="26">
        <f t="shared" si="4"/>
        <v>0</v>
      </c>
      <c r="S11" s="26">
        <f t="shared" si="5"/>
        <v>0</v>
      </c>
      <c r="T11" s="26">
        <f t="shared" si="5"/>
        <v>0</v>
      </c>
      <c r="U11" s="42">
        <f t="shared" si="6"/>
        <v>0</v>
      </c>
    </row>
    <row r="12" spans="1:21" ht="19.95" customHeight="1" x14ac:dyDescent="0.3">
      <c r="A12" s="52"/>
      <c r="B12" s="24"/>
      <c r="C12" s="24">
        <v>64013</v>
      </c>
      <c r="D12" s="25" t="s">
        <v>45</v>
      </c>
      <c r="E12" s="43"/>
      <c r="F12" s="27"/>
      <c r="G12" s="27"/>
      <c r="H12" s="44"/>
      <c r="I12" s="49">
        <f>H12*Subsector!$S$11</f>
        <v>0</v>
      </c>
      <c r="J12" s="26">
        <f>H12*Subsector!$S$12</f>
        <v>0</v>
      </c>
      <c r="K12" s="26">
        <f>H12*Subsector!$S$13</f>
        <v>0</v>
      </c>
      <c r="L12" s="26">
        <f>H12*Subsector!$S$15</f>
        <v>0</v>
      </c>
      <c r="M12" s="26">
        <f>H12*Subsector!$S$16</f>
        <v>0</v>
      </c>
      <c r="N12" s="66">
        <f>H12*Subsector!$S$17</f>
        <v>0</v>
      </c>
      <c r="O12" s="41">
        <f t="shared" si="2"/>
        <v>0</v>
      </c>
      <c r="P12" s="26">
        <f t="shared" si="2"/>
        <v>0</v>
      </c>
      <c r="Q12" s="26">
        <f t="shared" si="3"/>
        <v>0</v>
      </c>
      <c r="R12" s="26">
        <f t="shared" si="4"/>
        <v>0</v>
      </c>
      <c r="S12" s="26">
        <f t="shared" si="5"/>
        <v>0</v>
      </c>
      <c r="T12" s="26">
        <f t="shared" si="5"/>
        <v>0</v>
      </c>
      <c r="U12" s="42">
        <f t="shared" si="6"/>
        <v>0</v>
      </c>
    </row>
    <row r="13" spans="1:21" ht="19.95" customHeight="1" x14ac:dyDescent="0.3">
      <c r="A13" s="52"/>
      <c r="B13" s="24"/>
      <c r="C13" s="24">
        <v>64014</v>
      </c>
      <c r="D13" s="25" t="s">
        <v>46</v>
      </c>
      <c r="E13" s="43"/>
      <c r="F13" s="27"/>
      <c r="G13" s="27"/>
      <c r="H13" s="44"/>
      <c r="I13" s="49">
        <f>H13*Subsector!$S$11</f>
        <v>0</v>
      </c>
      <c r="J13" s="26">
        <f>H13*Subsector!$S$12</f>
        <v>0</v>
      </c>
      <c r="K13" s="26">
        <f>H13*Subsector!$S$13</f>
        <v>0</v>
      </c>
      <c r="L13" s="26">
        <f>H13*Subsector!$S$15</f>
        <v>0</v>
      </c>
      <c r="M13" s="26">
        <f>H13*Subsector!$S$16</f>
        <v>0</v>
      </c>
      <c r="N13" s="66">
        <f>H13*Subsector!$S$17</f>
        <v>0</v>
      </c>
      <c r="O13" s="41">
        <f t="shared" si="2"/>
        <v>0</v>
      </c>
      <c r="P13" s="26">
        <f t="shared" si="2"/>
        <v>0</v>
      </c>
      <c r="Q13" s="26">
        <f t="shared" si="3"/>
        <v>0</v>
      </c>
      <c r="R13" s="26">
        <f t="shared" si="4"/>
        <v>0</v>
      </c>
      <c r="S13" s="26">
        <f t="shared" si="5"/>
        <v>0</v>
      </c>
      <c r="T13" s="26">
        <f t="shared" si="5"/>
        <v>0</v>
      </c>
      <c r="U13" s="42">
        <f t="shared" si="6"/>
        <v>0</v>
      </c>
    </row>
    <row r="14" spans="1:21" ht="19.95" customHeight="1" x14ac:dyDescent="0.3">
      <c r="A14" s="52"/>
      <c r="B14" s="24"/>
      <c r="C14" s="24">
        <v>64015</v>
      </c>
      <c r="D14" s="25" t="s">
        <v>47</v>
      </c>
      <c r="E14" s="43"/>
      <c r="F14" s="27"/>
      <c r="G14" s="27"/>
      <c r="H14" s="44"/>
      <c r="I14" s="49">
        <f>H14*Subsector!$S$11</f>
        <v>0</v>
      </c>
      <c r="J14" s="26">
        <f>H14*Subsector!$S$12</f>
        <v>0</v>
      </c>
      <c r="K14" s="26">
        <f>H14*Subsector!$S$13</f>
        <v>0</v>
      </c>
      <c r="L14" s="26">
        <f>H14*Subsector!$S$15</f>
        <v>0</v>
      </c>
      <c r="M14" s="26">
        <f>H14*Subsector!$S$16</f>
        <v>0</v>
      </c>
      <c r="N14" s="66">
        <f>H14*Subsector!$S$17</f>
        <v>0</v>
      </c>
      <c r="O14" s="41">
        <f t="shared" si="2"/>
        <v>0</v>
      </c>
      <c r="P14" s="26">
        <f t="shared" si="2"/>
        <v>0</v>
      </c>
      <c r="Q14" s="26">
        <f t="shared" si="3"/>
        <v>0</v>
      </c>
      <c r="R14" s="26">
        <f t="shared" si="4"/>
        <v>0</v>
      </c>
      <c r="S14" s="26">
        <f t="shared" si="5"/>
        <v>0</v>
      </c>
      <c r="T14" s="26">
        <f t="shared" si="5"/>
        <v>0</v>
      </c>
      <c r="U14" s="42">
        <f t="shared" si="6"/>
        <v>0</v>
      </c>
    </row>
    <row r="15" spans="1:21" ht="19.95" customHeight="1" x14ac:dyDescent="0.3">
      <c r="A15" s="52"/>
      <c r="B15" s="24"/>
      <c r="C15" s="24">
        <v>64016</v>
      </c>
      <c r="D15" s="25" t="s">
        <v>48</v>
      </c>
      <c r="E15" s="43"/>
      <c r="F15" s="27"/>
      <c r="G15" s="27"/>
      <c r="H15" s="44"/>
      <c r="I15" s="49">
        <f>H15*Subsector!$S$11</f>
        <v>0</v>
      </c>
      <c r="J15" s="26">
        <f>H15*Subsector!$S$12</f>
        <v>0</v>
      </c>
      <c r="K15" s="26">
        <f>H15*Subsector!$S$13</f>
        <v>0</v>
      </c>
      <c r="L15" s="26">
        <f>H15*Subsector!$S$15</f>
        <v>0</v>
      </c>
      <c r="M15" s="26">
        <f>H15*Subsector!$S$16</f>
        <v>0</v>
      </c>
      <c r="N15" s="66">
        <f>H15*Subsector!$S$17</f>
        <v>0</v>
      </c>
      <c r="O15" s="41">
        <f t="shared" si="2"/>
        <v>0</v>
      </c>
      <c r="P15" s="26">
        <f t="shared" si="2"/>
        <v>0</v>
      </c>
      <c r="Q15" s="26">
        <f t="shared" si="3"/>
        <v>0</v>
      </c>
      <c r="R15" s="26">
        <f t="shared" si="4"/>
        <v>0</v>
      </c>
      <c r="S15" s="26">
        <f t="shared" si="5"/>
        <v>0</v>
      </c>
      <c r="T15" s="26">
        <f t="shared" si="5"/>
        <v>0</v>
      </c>
      <c r="U15" s="42">
        <f t="shared" si="6"/>
        <v>0</v>
      </c>
    </row>
    <row r="16" spans="1:21" ht="19.95" customHeight="1" x14ac:dyDescent="0.3">
      <c r="A16" s="52"/>
      <c r="B16" s="24"/>
      <c r="C16" s="24">
        <v>64017</v>
      </c>
      <c r="D16" s="25" t="s">
        <v>49</v>
      </c>
      <c r="E16" s="43"/>
      <c r="F16" s="27"/>
      <c r="G16" s="27"/>
      <c r="H16" s="44"/>
      <c r="I16" s="49">
        <f>H16*Subsector!$S$11</f>
        <v>0</v>
      </c>
      <c r="J16" s="26">
        <f>H16*Subsector!$S$12</f>
        <v>0</v>
      </c>
      <c r="K16" s="26">
        <f>H16*Subsector!$S$13</f>
        <v>0</v>
      </c>
      <c r="L16" s="26">
        <f>H16*Subsector!$S$15</f>
        <v>0</v>
      </c>
      <c r="M16" s="26">
        <f>H16*Subsector!$S$16</f>
        <v>0</v>
      </c>
      <c r="N16" s="66">
        <f>H16*Subsector!$S$17</f>
        <v>0</v>
      </c>
      <c r="O16" s="41">
        <f t="shared" si="2"/>
        <v>0</v>
      </c>
      <c r="P16" s="26">
        <f t="shared" si="2"/>
        <v>0</v>
      </c>
      <c r="Q16" s="26">
        <f t="shared" si="3"/>
        <v>0</v>
      </c>
      <c r="R16" s="26">
        <f t="shared" si="4"/>
        <v>0</v>
      </c>
      <c r="S16" s="26">
        <f t="shared" si="5"/>
        <v>0</v>
      </c>
      <c r="T16" s="26">
        <f t="shared" si="5"/>
        <v>0</v>
      </c>
      <c r="U16" s="42">
        <f t="shared" si="6"/>
        <v>0</v>
      </c>
    </row>
    <row r="17" spans="1:21" ht="19.95" customHeight="1" x14ac:dyDescent="0.3">
      <c r="A17" s="52"/>
      <c r="B17" s="24"/>
      <c r="C17" s="24">
        <v>64018</v>
      </c>
      <c r="D17" s="25" t="s">
        <v>50</v>
      </c>
      <c r="E17" s="43"/>
      <c r="F17" s="27"/>
      <c r="G17" s="27"/>
      <c r="H17" s="44"/>
      <c r="I17" s="49">
        <f>H17*Subsector!$S$11</f>
        <v>0</v>
      </c>
      <c r="J17" s="26">
        <f>H17*Subsector!$S$12</f>
        <v>0</v>
      </c>
      <c r="K17" s="26">
        <f>H17*Subsector!$S$13</f>
        <v>0</v>
      </c>
      <c r="L17" s="26">
        <f>H17*Subsector!$S$15</f>
        <v>0</v>
      </c>
      <c r="M17" s="26">
        <f>H17*Subsector!$S$16</f>
        <v>0</v>
      </c>
      <c r="N17" s="66">
        <f>H17*Subsector!$S$17</f>
        <v>0</v>
      </c>
      <c r="O17" s="41">
        <f t="shared" si="2"/>
        <v>0</v>
      </c>
      <c r="P17" s="26">
        <f t="shared" si="2"/>
        <v>0</v>
      </c>
      <c r="Q17" s="26">
        <f t="shared" si="3"/>
        <v>0</v>
      </c>
      <c r="R17" s="26">
        <f t="shared" si="4"/>
        <v>0</v>
      </c>
      <c r="S17" s="26">
        <f t="shared" si="5"/>
        <v>0</v>
      </c>
      <c r="T17" s="26">
        <f t="shared" si="5"/>
        <v>0</v>
      </c>
      <c r="U17" s="42">
        <f t="shared" si="6"/>
        <v>0</v>
      </c>
    </row>
    <row r="18" spans="1:21" ht="19.95" customHeight="1" x14ac:dyDescent="0.3">
      <c r="A18" s="51"/>
      <c r="B18" s="23">
        <v>6402</v>
      </c>
      <c r="C18" s="23"/>
      <c r="D18" s="21" t="s">
        <v>51</v>
      </c>
      <c r="E18" s="39">
        <f>SUM(E19:E26)</f>
        <v>0</v>
      </c>
      <c r="F18" s="22">
        <f t="shared" ref="F18:U18" si="7">SUM(F19:F26)</f>
        <v>0</v>
      </c>
      <c r="G18" s="22">
        <f t="shared" si="7"/>
        <v>0</v>
      </c>
      <c r="H18" s="40">
        <f t="shared" si="7"/>
        <v>0</v>
      </c>
      <c r="I18" s="36">
        <f t="shared" si="7"/>
        <v>0</v>
      </c>
      <c r="J18" s="22">
        <f t="shared" si="7"/>
        <v>0</v>
      </c>
      <c r="K18" s="22">
        <f t="shared" si="7"/>
        <v>0</v>
      </c>
      <c r="L18" s="22">
        <f t="shared" si="7"/>
        <v>0</v>
      </c>
      <c r="M18" s="22">
        <f t="shared" si="7"/>
        <v>0</v>
      </c>
      <c r="N18" s="65">
        <f t="shared" si="7"/>
        <v>0</v>
      </c>
      <c r="O18" s="39">
        <f t="shared" si="7"/>
        <v>0</v>
      </c>
      <c r="P18" s="22">
        <f t="shared" si="7"/>
        <v>0</v>
      </c>
      <c r="Q18" s="22">
        <f t="shared" si="7"/>
        <v>0</v>
      </c>
      <c r="R18" s="22">
        <f t="shared" si="7"/>
        <v>0</v>
      </c>
      <c r="S18" s="22">
        <f t="shared" si="7"/>
        <v>0</v>
      </c>
      <c r="T18" s="22">
        <f t="shared" si="7"/>
        <v>0</v>
      </c>
      <c r="U18" s="40">
        <f t="shared" si="7"/>
        <v>0</v>
      </c>
    </row>
    <row r="19" spans="1:21" ht="19.95" customHeight="1" x14ac:dyDescent="0.3">
      <c r="A19" s="52"/>
      <c r="B19" s="24"/>
      <c r="C19" s="24">
        <v>64021</v>
      </c>
      <c r="D19" s="25" t="s">
        <v>52</v>
      </c>
      <c r="E19" s="43"/>
      <c r="F19" s="27"/>
      <c r="G19" s="27"/>
      <c r="H19" s="44"/>
      <c r="I19" s="49">
        <f>H19*Subsector!$S$11</f>
        <v>0</v>
      </c>
      <c r="J19" s="26">
        <f>H19*Subsector!$S$12</f>
        <v>0</v>
      </c>
      <c r="K19" s="26">
        <f>H19*Subsector!$S$13</f>
        <v>0</v>
      </c>
      <c r="L19" s="26">
        <f>H19*Subsector!$S$15</f>
        <v>0</v>
      </c>
      <c r="M19" s="26">
        <f>H19*Subsector!$S$16</f>
        <v>0</v>
      </c>
      <c r="N19" s="66">
        <f>H19*Subsector!$S$17</f>
        <v>0</v>
      </c>
      <c r="O19" s="41">
        <f t="shared" ref="O19:P26" si="8">ROUNDUP(SUM(E19,I19),1)</f>
        <v>0</v>
      </c>
      <c r="P19" s="26">
        <f t="shared" si="8"/>
        <v>0</v>
      </c>
      <c r="Q19" s="26">
        <f t="shared" ref="Q19:Q26" si="9">ROUNDUP(SUM(K19),1)</f>
        <v>0</v>
      </c>
      <c r="R19" s="26">
        <f t="shared" ref="R19:R26" si="10">ROUNDUP(SUM(G19,L19),1)</f>
        <v>0</v>
      </c>
      <c r="S19" s="26">
        <f t="shared" ref="S19:T26" si="11">ROUNDUP(SUM(M19),1)</f>
        <v>0</v>
      </c>
      <c r="T19" s="26">
        <f t="shared" si="11"/>
        <v>0</v>
      </c>
      <c r="U19" s="42">
        <f t="shared" ref="U19:U26" si="12">SUM(O19:T19)</f>
        <v>0</v>
      </c>
    </row>
    <row r="20" spans="1:21" ht="19.95" customHeight="1" x14ac:dyDescent="0.3">
      <c r="A20" s="52"/>
      <c r="B20" s="24"/>
      <c r="C20" s="24">
        <v>64022</v>
      </c>
      <c r="D20" s="25" t="s">
        <v>53</v>
      </c>
      <c r="E20" s="43"/>
      <c r="F20" s="27"/>
      <c r="G20" s="27"/>
      <c r="H20" s="44"/>
      <c r="I20" s="49">
        <f>H20*Subsector!$S$11</f>
        <v>0</v>
      </c>
      <c r="J20" s="26">
        <f>H20*Subsector!$S$12</f>
        <v>0</v>
      </c>
      <c r="K20" s="26">
        <f>H20*Subsector!$S$13</f>
        <v>0</v>
      </c>
      <c r="L20" s="26">
        <f>H20*Subsector!$S$15</f>
        <v>0</v>
      </c>
      <c r="M20" s="26">
        <f>H20*Subsector!$S$16</f>
        <v>0</v>
      </c>
      <c r="N20" s="66">
        <f>H20*Subsector!$S$17</f>
        <v>0</v>
      </c>
      <c r="O20" s="41">
        <f t="shared" si="8"/>
        <v>0</v>
      </c>
      <c r="P20" s="26">
        <f t="shared" si="8"/>
        <v>0</v>
      </c>
      <c r="Q20" s="26">
        <f t="shared" si="9"/>
        <v>0</v>
      </c>
      <c r="R20" s="26">
        <f t="shared" si="10"/>
        <v>0</v>
      </c>
      <c r="S20" s="26">
        <f t="shared" si="11"/>
        <v>0</v>
      </c>
      <c r="T20" s="26">
        <f t="shared" si="11"/>
        <v>0</v>
      </c>
      <c r="U20" s="42">
        <f t="shared" si="12"/>
        <v>0</v>
      </c>
    </row>
    <row r="21" spans="1:21" ht="19.95" customHeight="1" x14ac:dyDescent="0.3">
      <c r="A21" s="52"/>
      <c r="B21" s="24"/>
      <c r="C21" s="24">
        <v>64023</v>
      </c>
      <c r="D21" s="25" t="s">
        <v>54</v>
      </c>
      <c r="E21" s="43"/>
      <c r="F21" s="27"/>
      <c r="G21" s="27"/>
      <c r="H21" s="44"/>
      <c r="I21" s="49">
        <f>H21*Subsector!$S$11</f>
        <v>0</v>
      </c>
      <c r="J21" s="26">
        <f>H21*Subsector!$S$12</f>
        <v>0</v>
      </c>
      <c r="K21" s="26">
        <f>H21*Subsector!$S$13</f>
        <v>0</v>
      </c>
      <c r="L21" s="26">
        <f>H21*Subsector!$S$15</f>
        <v>0</v>
      </c>
      <c r="M21" s="26">
        <f>H21*Subsector!$S$16</f>
        <v>0</v>
      </c>
      <c r="N21" s="66">
        <f>H21*Subsector!$S$17</f>
        <v>0</v>
      </c>
      <c r="O21" s="41">
        <f t="shared" si="8"/>
        <v>0</v>
      </c>
      <c r="P21" s="26">
        <f t="shared" si="8"/>
        <v>0</v>
      </c>
      <c r="Q21" s="26">
        <f t="shared" si="9"/>
        <v>0</v>
      </c>
      <c r="R21" s="26">
        <f t="shared" si="10"/>
        <v>0</v>
      </c>
      <c r="S21" s="26">
        <f t="shared" si="11"/>
        <v>0</v>
      </c>
      <c r="T21" s="26">
        <f t="shared" si="11"/>
        <v>0</v>
      </c>
      <c r="U21" s="42">
        <f t="shared" si="12"/>
        <v>0</v>
      </c>
    </row>
    <row r="22" spans="1:21" ht="19.95" customHeight="1" x14ac:dyDescent="0.3">
      <c r="A22" s="52"/>
      <c r="B22" s="24"/>
      <c r="C22" s="24">
        <v>64024</v>
      </c>
      <c r="D22" s="25" t="s">
        <v>55</v>
      </c>
      <c r="E22" s="43"/>
      <c r="F22" s="27"/>
      <c r="G22" s="27"/>
      <c r="H22" s="44"/>
      <c r="I22" s="49">
        <f>H22*Subsector!$S$11</f>
        <v>0</v>
      </c>
      <c r="J22" s="26">
        <f>H22*Subsector!$S$12</f>
        <v>0</v>
      </c>
      <c r="K22" s="26">
        <f>H22*Subsector!$S$13</f>
        <v>0</v>
      </c>
      <c r="L22" s="26">
        <f>H22*Subsector!$S$15</f>
        <v>0</v>
      </c>
      <c r="M22" s="26">
        <f>H22*Subsector!$S$16</f>
        <v>0</v>
      </c>
      <c r="N22" s="66">
        <f>H22*Subsector!$S$17</f>
        <v>0</v>
      </c>
      <c r="O22" s="41">
        <f t="shared" si="8"/>
        <v>0</v>
      </c>
      <c r="P22" s="26">
        <f t="shared" si="8"/>
        <v>0</v>
      </c>
      <c r="Q22" s="26">
        <f t="shared" si="9"/>
        <v>0</v>
      </c>
      <c r="R22" s="26">
        <f t="shared" si="10"/>
        <v>0</v>
      </c>
      <c r="S22" s="26">
        <f t="shared" si="11"/>
        <v>0</v>
      </c>
      <c r="T22" s="26">
        <f t="shared" si="11"/>
        <v>0</v>
      </c>
      <c r="U22" s="42">
        <f t="shared" si="12"/>
        <v>0</v>
      </c>
    </row>
    <row r="23" spans="1:21" ht="19.95" customHeight="1" x14ac:dyDescent="0.3">
      <c r="A23" s="52"/>
      <c r="B23" s="24"/>
      <c r="C23" s="24">
        <v>64025</v>
      </c>
      <c r="D23" s="25" t="s">
        <v>56</v>
      </c>
      <c r="E23" s="43"/>
      <c r="F23" s="27"/>
      <c r="G23" s="27"/>
      <c r="H23" s="44"/>
      <c r="I23" s="49">
        <f>H23*Subsector!$S$11</f>
        <v>0</v>
      </c>
      <c r="J23" s="26">
        <f>H23*Subsector!$S$12</f>
        <v>0</v>
      </c>
      <c r="K23" s="26">
        <f>H23*Subsector!$S$13</f>
        <v>0</v>
      </c>
      <c r="L23" s="26">
        <f>H23*Subsector!$S$15</f>
        <v>0</v>
      </c>
      <c r="M23" s="26">
        <f>H23*Subsector!$S$16</f>
        <v>0</v>
      </c>
      <c r="N23" s="66">
        <f>H23*Subsector!$S$17</f>
        <v>0</v>
      </c>
      <c r="O23" s="41">
        <f t="shared" si="8"/>
        <v>0</v>
      </c>
      <c r="P23" s="26">
        <f t="shared" si="8"/>
        <v>0</v>
      </c>
      <c r="Q23" s="26">
        <f t="shared" si="9"/>
        <v>0</v>
      </c>
      <c r="R23" s="26">
        <f t="shared" si="10"/>
        <v>0</v>
      </c>
      <c r="S23" s="26">
        <f t="shared" si="11"/>
        <v>0</v>
      </c>
      <c r="T23" s="26">
        <f t="shared" si="11"/>
        <v>0</v>
      </c>
      <c r="U23" s="42">
        <f t="shared" si="12"/>
        <v>0</v>
      </c>
    </row>
    <row r="24" spans="1:21" ht="19.95" customHeight="1" x14ac:dyDescent="0.3">
      <c r="A24" s="52"/>
      <c r="B24" s="24"/>
      <c r="C24" s="24">
        <v>64026</v>
      </c>
      <c r="D24" s="25" t="s">
        <v>57</v>
      </c>
      <c r="E24" s="43"/>
      <c r="F24" s="27"/>
      <c r="G24" s="27"/>
      <c r="H24" s="44"/>
      <c r="I24" s="49">
        <f>H24*Subsector!$S$11</f>
        <v>0</v>
      </c>
      <c r="J24" s="26">
        <f>H24*Subsector!$S$12</f>
        <v>0</v>
      </c>
      <c r="K24" s="26">
        <f>H24*Subsector!$S$13</f>
        <v>0</v>
      </c>
      <c r="L24" s="26">
        <f>H24*Subsector!$S$15</f>
        <v>0</v>
      </c>
      <c r="M24" s="26">
        <f>H24*Subsector!$S$16</f>
        <v>0</v>
      </c>
      <c r="N24" s="66">
        <f>H24*Subsector!$S$17</f>
        <v>0</v>
      </c>
      <c r="O24" s="41">
        <f t="shared" si="8"/>
        <v>0</v>
      </c>
      <c r="P24" s="26">
        <f t="shared" si="8"/>
        <v>0</v>
      </c>
      <c r="Q24" s="26">
        <f t="shared" si="9"/>
        <v>0</v>
      </c>
      <c r="R24" s="26">
        <f t="shared" si="10"/>
        <v>0</v>
      </c>
      <c r="S24" s="26">
        <f t="shared" si="11"/>
        <v>0</v>
      </c>
      <c r="T24" s="26">
        <f t="shared" si="11"/>
        <v>0</v>
      </c>
      <c r="U24" s="42">
        <f t="shared" si="12"/>
        <v>0</v>
      </c>
    </row>
    <row r="25" spans="1:21" ht="19.95" customHeight="1" x14ac:dyDescent="0.3">
      <c r="A25" s="52"/>
      <c r="B25" s="24"/>
      <c r="C25" s="24">
        <v>64027</v>
      </c>
      <c r="D25" s="25" t="s">
        <v>58</v>
      </c>
      <c r="E25" s="43"/>
      <c r="F25" s="27"/>
      <c r="G25" s="27"/>
      <c r="H25" s="44"/>
      <c r="I25" s="49">
        <f>H25*Subsector!$S$11</f>
        <v>0</v>
      </c>
      <c r="J25" s="26">
        <f>H25*Subsector!$S$12</f>
        <v>0</v>
      </c>
      <c r="K25" s="26">
        <f>H25*Subsector!$S$13</f>
        <v>0</v>
      </c>
      <c r="L25" s="26">
        <f>H25*Subsector!$S$15</f>
        <v>0</v>
      </c>
      <c r="M25" s="26">
        <f>H25*Subsector!$S$16</f>
        <v>0</v>
      </c>
      <c r="N25" s="66">
        <f>H25*Subsector!$S$17</f>
        <v>0</v>
      </c>
      <c r="O25" s="41">
        <f t="shared" si="8"/>
        <v>0</v>
      </c>
      <c r="P25" s="26">
        <f t="shared" si="8"/>
        <v>0</v>
      </c>
      <c r="Q25" s="26">
        <f t="shared" si="9"/>
        <v>0</v>
      </c>
      <c r="R25" s="26">
        <f t="shared" si="10"/>
        <v>0</v>
      </c>
      <c r="S25" s="26">
        <f t="shared" si="11"/>
        <v>0</v>
      </c>
      <c r="T25" s="26">
        <f t="shared" si="11"/>
        <v>0</v>
      </c>
      <c r="U25" s="42">
        <f t="shared" si="12"/>
        <v>0</v>
      </c>
    </row>
    <row r="26" spans="1:21" ht="19.95" customHeight="1" x14ac:dyDescent="0.3">
      <c r="A26" s="52"/>
      <c r="B26" s="24"/>
      <c r="C26" s="24">
        <v>64028</v>
      </c>
      <c r="D26" s="25" t="s">
        <v>59</v>
      </c>
      <c r="E26" s="43"/>
      <c r="F26" s="27"/>
      <c r="G26" s="27"/>
      <c r="H26" s="44"/>
      <c r="I26" s="49">
        <f>H26*Subsector!$S$11</f>
        <v>0</v>
      </c>
      <c r="J26" s="26">
        <f>H26*Subsector!$S$12</f>
        <v>0</v>
      </c>
      <c r="K26" s="26">
        <f>H26*Subsector!$S$13</f>
        <v>0</v>
      </c>
      <c r="L26" s="26">
        <f>H26*Subsector!$S$15</f>
        <v>0</v>
      </c>
      <c r="M26" s="26">
        <f>H26*Subsector!$S$16</f>
        <v>0</v>
      </c>
      <c r="N26" s="66">
        <f>H26*Subsector!$S$17</f>
        <v>0</v>
      </c>
      <c r="O26" s="41">
        <f t="shared" si="8"/>
        <v>0</v>
      </c>
      <c r="P26" s="26">
        <f t="shared" si="8"/>
        <v>0</v>
      </c>
      <c r="Q26" s="26">
        <f t="shared" si="9"/>
        <v>0</v>
      </c>
      <c r="R26" s="26">
        <f t="shared" si="10"/>
        <v>0</v>
      </c>
      <c r="S26" s="26">
        <f t="shared" si="11"/>
        <v>0</v>
      </c>
      <c r="T26" s="26">
        <f t="shared" si="11"/>
        <v>0</v>
      </c>
      <c r="U26" s="42">
        <f t="shared" si="12"/>
        <v>0</v>
      </c>
    </row>
    <row r="27" spans="1:21" ht="19.95" customHeight="1" x14ac:dyDescent="0.3">
      <c r="A27" s="51"/>
      <c r="B27" s="23">
        <v>6403</v>
      </c>
      <c r="C27" s="23"/>
      <c r="D27" s="21" t="s">
        <v>60</v>
      </c>
      <c r="E27" s="39">
        <f>SUM(E28:E32)</f>
        <v>0</v>
      </c>
      <c r="F27" s="22">
        <f t="shared" ref="F27:U27" si="13">SUM(F28:F32)</f>
        <v>0</v>
      </c>
      <c r="G27" s="22">
        <f t="shared" si="13"/>
        <v>0</v>
      </c>
      <c r="H27" s="40">
        <f t="shared" si="13"/>
        <v>0</v>
      </c>
      <c r="I27" s="36">
        <f t="shared" si="13"/>
        <v>0</v>
      </c>
      <c r="J27" s="22">
        <f t="shared" si="13"/>
        <v>0</v>
      </c>
      <c r="K27" s="22">
        <f t="shared" si="13"/>
        <v>0</v>
      </c>
      <c r="L27" s="22">
        <f t="shared" si="13"/>
        <v>0</v>
      </c>
      <c r="M27" s="22">
        <f t="shared" si="13"/>
        <v>0</v>
      </c>
      <c r="N27" s="65">
        <f t="shared" si="13"/>
        <v>0</v>
      </c>
      <c r="O27" s="39">
        <f t="shared" si="13"/>
        <v>0</v>
      </c>
      <c r="P27" s="22">
        <f t="shared" si="13"/>
        <v>0</v>
      </c>
      <c r="Q27" s="22">
        <f t="shared" si="13"/>
        <v>0</v>
      </c>
      <c r="R27" s="22">
        <f t="shared" si="13"/>
        <v>0</v>
      </c>
      <c r="S27" s="22">
        <f t="shared" si="13"/>
        <v>0</v>
      </c>
      <c r="T27" s="22">
        <f t="shared" si="13"/>
        <v>0</v>
      </c>
      <c r="U27" s="40">
        <f t="shared" si="13"/>
        <v>0</v>
      </c>
    </row>
    <row r="28" spans="1:21" ht="19.95" customHeight="1" x14ac:dyDescent="0.3">
      <c r="A28" s="52"/>
      <c r="B28" s="24"/>
      <c r="C28" s="24">
        <v>64033</v>
      </c>
      <c r="D28" s="25" t="s">
        <v>61</v>
      </c>
      <c r="E28" s="43"/>
      <c r="F28" s="27"/>
      <c r="G28" s="27"/>
      <c r="H28" s="44"/>
      <c r="I28" s="49">
        <f>H28*Subsector!$S$11</f>
        <v>0</v>
      </c>
      <c r="J28" s="26">
        <f>H28*Subsector!$S$12</f>
        <v>0</v>
      </c>
      <c r="K28" s="26">
        <f>H28*Subsector!$S$13</f>
        <v>0</v>
      </c>
      <c r="L28" s="26">
        <f>H28*Subsector!$S$15</f>
        <v>0</v>
      </c>
      <c r="M28" s="26">
        <f>H28*Subsector!$S$16</f>
        <v>0</v>
      </c>
      <c r="N28" s="66">
        <f>H28*Subsector!$S$17</f>
        <v>0</v>
      </c>
      <c r="O28" s="41">
        <f t="shared" ref="O28:P32" si="14">ROUNDUP(SUM(E28,I28),1)</f>
        <v>0</v>
      </c>
      <c r="P28" s="26">
        <f t="shared" si="14"/>
        <v>0</v>
      </c>
      <c r="Q28" s="26">
        <f>ROUNDUP(SUM(K28),1)</f>
        <v>0</v>
      </c>
      <c r="R28" s="26">
        <f>ROUNDUP(SUM(G28,L28),1)</f>
        <v>0</v>
      </c>
      <c r="S28" s="26">
        <f t="shared" ref="S28:T32" si="15">ROUNDUP(SUM(M28),1)</f>
        <v>0</v>
      </c>
      <c r="T28" s="26">
        <f t="shared" si="15"/>
        <v>0</v>
      </c>
      <c r="U28" s="42">
        <f>SUM(O28:T28)</f>
        <v>0</v>
      </c>
    </row>
    <row r="29" spans="1:21" ht="19.95" customHeight="1" x14ac:dyDescent="0.3">
      <c r="A29" s="52"/>
      <c r="B29" s="24"/>
      <c r="C29" s="24">
        <v>64034</v>
      </c>
      <c r="D29" s="25" t="s">
        <v>62</v>
      </c>
      <c r="E29" s="43"/>
      <c r="F29" s="27"/>
      <c r="G29" s="27"/>
      <c r="H29" s="44"/>
      <c r="I29" s="49">
        <f>H29*Subsector!$S$11</f>
        <v>0</v>
      </c>
      <c r="J29" s="26">
        <f>H29*Subsector!$S$12</f>
        <v>0</v>
      </c>
      <c r="K29" s="26">
        <f>H29*Subsector!$S$13</f>
        <v>0</v>
      </c>
      <c r="L29" s="26">
        <f>H29*Subsector!$S$15</f>
        <v>0</v>
      </c>
      <c r="M29" s="26">
        <f>H29*Subsector!$S$16</f>
        <v>0</v>
      </c>
      <c r="N29" s="66">
        <f>H29*Subsector!$S$17</f>
        <v>0</v>
      </c>
      <c r="O29" s="41">
        <f t="shared" si="14"/>
        <v>0</v>
      </c>
      <c r="P29" s="26">
        <f t="shared" si="14"/>
        <v>0</v>
      </c>
      <c r="Q29" s="26">
        <f>ROUNDUP(SUM(K29),1)</f>
        <v>0</v>
      </c>
      <c r="R29" s="26">
        <f>ROUNDUP(SUM(G29,L29),1)</f>
        <v>0</v>
      </c>
      <c r="S29" s="26">
        <f t="shared" si="15"/>
        <v>0</v>
      </c>
      <c r="T29" s="26">
        <f t="shared" si="15"/>
        <v>0</v>
      </c>
      <c r="U29" s="42">
        <f>SUM(O29:T29)</f>
        <v>0</v>
      </c>
    </row>
    <row r="30" spans="1:21" ht="19.95" customHeight="1" x14ac:dyDescent="0.3">
      <c r="A30" s="52"/>
      <c r="B30" s="24"/>
      <c r="C30" s="24">
        <v>64035</v>
      </c>
      <c r="D30" s="25" t="s">
        <v>63</v>
      </c>
      <c r="E30" s="43"/>
      <c r="F30" s="27"/>
      <c r="G30" s="27"/>
      <c r="H30" s="44"/>
      <c r="I30" s="49">
        <f>H30*Subsector!$S$11</f>
        <v>0</v>
      </c>
      <c r="J30" s="26">
        <f>H30*Subsector!$S$12</f>
        <v>0</v>
      </c>
      <c r="K30" s="26">
        <f>H30*Subsector!$S$13</f>
        <v>0</v>
      </c>
      <c r="L30" s="26">
        <f>H30*Subsector!$S$15</f>
        <v>0</v>
      </c>
      <c r="M30" s="26">
        <f>H30*Subsector!$S$16</f>
        <v>0</v>
      </c>
      <c r="N30" s="66">
        <f>H30*Subsector!$S$17</f>
        <v>0</v>
      </c>
      <c r="O30" s="41">
        <f t="shared" si="14"/>
        <v>0</v>
      </c>
      <c r="P30" s="26">
        <f t="shared" si="14"/>
        <v>0</v>
      </c>
      <c r="Q30" s="26">
        <f>ROUNDUP(SUM(K30),1)</f>
        <v>0</v>
      </c>
      <c r="R30" s="26">
        <f>ROUNDUP(SUM(G30,L30),1)</f>
        <v>0</v>
      </c>
      <c r="S30" s="26">
        <f t="shared" si="15"/>
        <v>0</v>
      </c>
      <c r="T30" s="26">
        <f t="shared" si="15"/>
        <v>0</v>
      </c>
      <c r="U30" s="42">
        <f>SUM(O30:T30)</f>
        <v>0</v>
      </c>
    </row>
    <row r="31" spans="1:21" ht="19.95" customHeight="1" x14ac:dyDescent="0.3">
      <c r="A31" s="52"/>
      <c r="B31" s="24"/>
      <c r="C31" s="24">
        <v>64037</v>
      </c>
      <c r="D31" s="25" t="s">
        <v>64</v>
      </c>
      <c r="E31" s="43"/>
      <c r="F31" s="27"/>
      <c r="G31" s="27"/>
      <c r="H31" s="44"/>
      <c r="I31" s="49">
        <f>H31*Subsector!$S$11</f>
        <v>0</v>
      </c>
      <c r="J31" s="26">
        <f>H31*Subsector!$S$12</f>
        <v>0</v>
      </c>
      <c r="K31" s="26">
        <f>H31*Subsector!$S$13</f>
        <v>0</v>
      </c>
      <c r="L31" s="26">
        <f>H31*Subsector!$S$15</f>
        <v>0</v>
      </c>
      <c r="M31" s="26">
        <f>H31*Subsector!$S$16</f>
        <v>0</v>
      </c>
      <c r="N31" s="66">
        <f>H31*Subsector!$S$17</f>
        <v>0</v>
      </c>
      <c r="O31" s="41">
        <f t="shared" si="14"/>
        <v>0</v>
      </c>
      <c r="P31" s="26">
        <f t="shared" si="14"/>
        <v>0</v>
      </c>
      <c r="Q31" s="26">
        <f>ROUNDUP(SUM(K31),1)</f>
        <v>0</v>
      </c>
      <c r="R31" s="26">
        <f>ROUNDUP(SUM(G31,L31),1)</f>
        <v>0</v>
      </c>
      <c r="S31" s="26">
        <f t="shared" si="15"/>
        <v>0</v>
      </c>
      <c r="T31" s="26">
        <f t="shared" si="15"/>
        <v>0</v>
      </c>
      <c r="U31" s="42">
        <f>SUM(O31:T31)</f>
        <v>0</v>
      </c>
    </row>
    <row r="32" spans="1:21" ht="19.95" customHeight="1" x14ac:dyDescent="0.3">
      <c r="A32" s="52"/>
      <c r="B32" s="24"/>
      <c r="C32" s="24">
        <v>64038</v>
      </c>
      <c r="D32" s="25" t="s">
        <v>60</v>
      </c>
      <c r="E32" s="43"/>
      <c r="F32" s="27"/>
      <c r="G32" s="27"/>
      <c r="H32" s="44"/>
      <c r="I32" s="49">
        <f>H32*Subsector!$S$11</f>
        <v>0</v>
      </c>
      <c r="J32" s="26">
        <f>H32*Subsector!$S$12</f>
        <v>0</v>
      </c>
      <c r="K32" s="26">
        <f>H32*Subsector!$S$13</f>
        <v>0</v>
      </c>
      <c r="L32" s="26">
        <f>H32*Subsector!$S$15</f>
        <v>0</v>
      </c>
      <c r="M32" s="26">
        <f>H32*Subsector!$S$16</f>
        <v>0</v>
      </c>
      <c r="N32" s="66">
        <f>H32*Subsector!$S$17</f>
        <v>0</v>
      </c>
      <c r="O32" s="41">
        <f t="shared" si="14"/>
        <v>0</v>
      </c>
      <c r="P32" s="26">
        <f t="shared" si="14"/>
        <v>0</v>
      </c>
      <c r="Q32" s="26">
        <f>ROUNDUP(SUM(K32),1)</f>
        <v>0</v>
      </c>
      <c r="R32" s="26">
        <f>ROUNDUP(SUM(G32,L32),1)</f>
        <v>0</v>
      </c>
      <c r="S32" s="26">
        <f t="shared" si="15"/>
        <v>0</v>
      </c>
      <c r="T32" s="26">
        <f t="shared" si="15"/>
        <v>0</v>
      </c>
      <c r="U32" s="42">
        <f>SUM(O32:T32)</f>
        <v>0</v>
      </c>
    </row>
    <row r="33" spans="1:21" ht="19.95" customHeight="1" x14ac:dyDescent="0.3">
      <c r="A33" s="51"/>
      <c r="B33" s="23">
        <v>6404</v>
      </c>
      <c r="C33" s="23"/>
      <c r="D33" s="21" t="s">
        <v>65</v>
      </c>
      <c r="E33" s="39">
        <f>SUM(E34:E36)</f>
        <v>0</v>
      </c>
      <c r="F33" s="22">
        <f t="shared" ref="F33:U33" si="16">SUM(F34:F36)</f>
        <v>0</v>
      </c>
      <c r="G33" s="22">
        <f t="shared" si="16"/>
        <v>0</v>
      </c>
      <c r="H33" s="40">
        <f t="shared" si="16"/>
        <v>0</v>
      </c>
      <c r="I33" s="36">
        <f t="shared" si="16"/>
        <v>0</v>
      </c>
      <c r="J33" s="22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65">
        <f t="shared" si="16"/>
        <v>0</v>
      </c>
      <c r="O33" s="39">
        <f t="shared" si="16"/>
        <v>0</v>
      </c>
      <c r="P33" s="22">
        <f t="shared" si="16"/>
        <v>0</v>
      </c>
      <c r="Q33" s="22">
        <f t="shared" si="16"/>
        <v>0</v>
      </c>
      <c r="R33" s="22">
        <f t="shared" si="16"/>
        <v>0</v>
      </c>
      <c r="S33" s="22">
        <f t="shared" si="16"/>
        <v>0</v>
      </c>
      <c r="T33" s="22">
        <f t="shared" si="16"/>
        <v>0</v>
      </c>
      <c r="U33" s="40">
        <f t="shared" si="16"/>
        <v>0</v>
      </c>
    </row>
    <row r="34" spans="1:21" ht="19.95" customHeight="1" x14ac:dyDescent="0.3">
      <c r="A34" s="52"/>
      <c r="B34" s="24"/>
      <c r="C34" s="24">
        <v>64041</v>
      </c>
      <c r="D34" s="25" t="s">
        <v>66</v>
      </c>
      <c r="E34" s="43"/>
      <c r="F34" s="27"/>
      <c r="G34" s="27"/>
      <c r="H34" s="44"/>
      <c r="I34" s="49">
        <f>H34*Subsector!$S$11</f>
        <v>0</v>
      </c>
      <c r="J34" s="26">
        <f>H34*Subsector!$S$12</f>
        <v>0</v>
      </c>
      <c r="K34" s="26">
        <f>H34*Subsector!$S$13</f>
        <v>0</v>
      </c>
      <c r="L34" s="26">
        <f>H34*Subsector!$S$15</f>
        <v>0</v>
      </c>
      <c r="M34" s="26">
        <f>H34*Subsector!$S$16</f>
        <v>0</v>
      </c>
      <c r="N34" s="66">
        <f>H34*Subsector!$S$17</f>
        <v>0</v>
      </c>
      <c r="O34" s="41">
        <f t="shared" ref="O34:P36" si="17">ROUNDUP(SUM(E34,I34),1)</f>
        <v>0</v>
      </c>
      <c r="P34" s="26">
        <f t="shared" si="17"/>
        <v>0</v>
      </c>
      <c r="Q34" s="26">
        <f>ROUNDUP(SUM(K34),1)</f>
        <v>0</v>
      </c>
      <c r="R34" s="26">
        <f>ROUNDUP(SUM(G34,L34),1)</f>
        <v>0</v>
      </c>
      <c r="S34" s="26">
        <f t="shared" ref="S34:T36" si="18">ROUNDUP(SUM(M34),1)</f>
        <v>0</v>
      </c>
      <c r="T34" s="26">
        <f t="shared" si="18"/>
        <v>0</v>
      </c>
      <c r="U34" s="42">
        <f>SUM(O34:T34)</f>
        <v>0</v>
      </c>
    </row>
    <row r="35" spans="1:21" ht="19.95" customHeight="1" x14ac:dyDescent="0.3">
      <c r="A35" s="52"/>
      <c r="B35" s="24"/>
      <c r="C35" s="24">
        <v>64042</v>
      </c>
      <c r="D35" s="25" t="s">
        <v>67</v>
      </c>
      <c r="E35" s="43"/>
      <c r="F35" s="27"/>
      <c r="G35" s="27"/>
      <c r="H35" s="44"/>
      <c r="I35" s="49">
        <f>H35*Subsector!$S$11</f>
        <v>0</v>
      </c>
      <c r="J35" s="26">
        <f>H35*Subsector!$S$12</f>
        <v>0</v>
      </c>
      <c r="K35" s="26">
        <f>H35*Subsector!$S$13</f>
        <v>0</v>
      </c>
      <c r="L35" s="26">
        <f>H35*Subsector!$S$15</f>
        <v>0</v>
      </c>
      <c r="M35" s="26">
        <f>H35*Subsector!$S$16</f>
        <v>0</v>
      </c>
      <c r="N35" s="66">
        <f>H35*Subsector!$S$17</f>
        <v>0</v>
      </c>
      <c r="O35" s="41">
        <f t="shared" si="17"/>
        <v>0</v>
      </c>
      <c r="P35" s="26">
        <f t="shared" si="17"/>
        <v>0</v>
      </c>
      <c r="Q35" s="26">
        <f>ROUNDUP(SUM(K35),1)</f>
        <v>0</v>
      </c>
      <c r="R35" s="26">
        <f>ROUNDUP(SUM(G35,L35),1)</f>
        <v>0</v>
      </c>
      <c r="S35" s="26">
        <f t="shared" si="18"/>
        <v>0</v>
      </c>
      <c r="T35" s="26">
        <f t="shared" si="18"/>
        <v>0</v>
      </c>
      <c r="U35" s="42">
        <f>SUM(O35:T35)</f>
        <v>0</v>
      </c>
    </row>
    <row r="36" spans="1:21" ht="19.95" customHeight="1" x14ac:dyDescent="0.3">
      <c r="A36" s="53"/>
      <c r="B36" s="23"/>
      <c r="C36" s="24">
        <v>64048</v>
      </c>
      <c r="D36" s="25" t="s">
        <v>68</v>
      </c>
      <c r="E36" s="43"/>
      <c r="F36" s="27"/>
      <c r="G36" s="27"/>
      <c r="H36" s="44"/>
      <c r="I36" s="49">
        <f>H36*Subsector!$S$11</f>
        <v>0</v>
      </c>
      <c r="J36" s="26">
        <f>H36*Subsector!$S$12</f>
        <v>0</v>
      </c>
      <c r="K36" s="26">
        <f>H36*Subsector!$S$13</f>
        <v>0</v>
      </c>
      <c r="L36" s="26">
        <f>H36*Subsector!$S$15</f>
        <v>0</v>
      </c>
      <c r="M36" s="26">
        <f>H36*Subsector!$S$16</f>
        <v>0</v>
      </c>
      <c r="N36" s="66">
        <f>H36*Subsector!$S$17</f>
        <v>0</v>
      </c>
      <c r="O36" s="41">
        <f t="shared" si="17"/>
        <v>0</v>
      </c>
      <c r="P36" s="26">
        <f t="shared" si="17"/>
        <v>0</v>
      </c>
      <c r="Q36" s="26">
        <f>ROUNDUP(SUM(K36),1)</f>
        <v>0</v>
      </c>
      <c r="R36" s="26">
        <f>ROUNDUP(SUM(G36,L36),1)</f>
        <v>0</v>
      </c>
      <c r="S36" s="26">
        <f t="shared" si="18"/>
        <v>0</v>
      </c>
      <c r="T36" s="26">
        <f t="shared" si="18"/>
        <v>0</v>
      </c>
      <c r="U36" s="42">
        <f>SUM(O36:T36)</f>
        <v>0</v>
      </c>
    </row>
    <row r="37" spans="1:21" ht="19.95" customHeight="1" x14ac:dyDescent="0.3">
      <c r="A37" s="54"/>
      <c r="B37" s="23">
        <v>6405</v>
      </c>
      <c r="C37" s="23"/>
      <c r="D37" s="21" t="s">
        <v>69</v>
      </c>
      <c r="E37" s="39">
        <f>SUM(E38:E44)</f>
        <v>0</v>
      </c>
      <c r="F37" s="22">
        <f t="shared" ref="F37:U37" si="19">SUM(F38:F44)</f>
        <v>0</v>
      </c>
      <c r="G37" s="22">
        <f t="shared" si="19"/>
        <v>0</v>
      </c>
      <c r="H37" s="40">
        <f t="shared" si="19"/>
        <v>0</v>
      </c>
      <c r="I37" s="36">
        <f t="shared" si="19"/>
        <v>0</v>
      </c>
      <c r="J37" s="22">
        <f t="shared" si="19"/>
        <v>0</v>
      </c>
      <c r="K37" s="22">
        <f t="shared" si="19"/>
        <v>0</v>
      </c>
      <c r="L37" s="22">
        <f t="shared" si="19"/>
        <v>0</v>
      </c>
      <c r="M37" s="22">
        <f t="shared" si="19"/>
        <v>0</v>
      </c>
      <c r="N37" s="65">
        <f t="shared" si="19"/>
        <v>0</v>
      </c>
      <c r="O37" s="39">
        <f t="shared" si="19"/>
        <v>0</v>
      </c>
      <c r="P37" s="22">
        <f t="shared" si="19"/>
        <v>0</v>
      </c>
      <c r="Q37" s="22">
        <f t="shared" si="19"/>
        <v>0</v>
      </c>
      <c r="R37" s="22">
        <f t="shared" si="19"/>
        <v>0</v>
      </c>
      <c r="S37" s="22">
        <f t="shared" si="19"/>
        <v>0</v>
      </c>
      <c r="T37" s="22">
        <f t="shared" si="19"/>
        <v>0</v>
      </c>
      <c r="U37" s="40">
        <f t="shared" si="19"/>
        <v>0</v>
      </c>
    </row>
    <row r="38" spans="1:21" ht="19.95" customHeight="1" x14ac:dyDescent="0.3">
      <c r="A38" s="55"/>
      <c r="B38" s="23"/>
      <c r="C38" s="24">
        <v>64051</v>
      </c>
      <c r="D38" s="25" t="s">
        <v>70</v>
      </c>
      <c r="E38" s="43"/>
      <c r="F38" s="27"/>
      <c r="G38" s="27"/>
      <c r="H38" s="44"/>
      <c r="I38" s="49">
        <f>H38*Subsector!$S$11</f>
        <v>0</v>
      </c>
      <c r="J38" s="26">
        <f>H38*Subsector!$S$12</f>
        <v>0</v>
      </c>
      <c r="K38" s="26">
        <f>H38*Subsector!$S$13</f>
        <v>0</v>
      </c>
      <c r="L38" s="26">
        <f>H38*Subsector!$S$15</f>
        <v>0</v>
      </c>
      <c r="M38" s="26">
        <f>H38*Subsector!$S$16</f>
        <v>0</v>
      </c>
      <c r="N38" s="66">
        <f>H38*Subsector!$S$17</f>
        <v>0</v>
      </c>
      <c r="O38" s="41">
        <f t="shared" ref="O38:P44" si="20">ROUNDUP(SUM(E38,I38),1)</f>
        <v>0</v>
      </c>
      <c r="P38" s="26">
        <f t="shared" si="20"/>
        <v>0</v>
      </c>
      <c r="Q38" s="26">
        <f t="shared" ref="Q38:Q44" si="21">ROUNDUP(SUM(K38),1)</f>
        <v>0</v>
      </c>
      <c r="R38" s="26">
        <f t="shared" ref="R38:R44" si="22">ROUNDUP(SUM(G38,L38),1)</f>
        <v>0</v>
      </c>
      <c r="S38" s="26">
        <f t="shared" ref="S38:T44" si="23">ROUNDUP(SUM(M38),1)</f>
        <v>0</v>
      </c>
      <c r="T38" s="26">
        <f t="shared" si="23"/>
        <v>0</v>
      </c>
      <c r="U38" s="42">
        <f t="shared" ref="U38:U44" si="24">SUM(O38:T38)</f>
        <v>0</v>
      </c>
    </row>
    <row r="39" spans="1:21" ht="19.95" customHeight="1" x14ac:dyDescent="0.3">
      <c r="A39" s="55"/>
      <c r="B39" s="24"/>
      <c r="C39" s="24">
        <v>64052</v>
      </c>
      <c r="D39" s="25" t="s">
        <v>71</v>
      </c>
      <c r="E39" s="43"/>
      <c r="F39" s="27"/>
      <c r="G39" s="27"/>
      <c r="H39" s="44"/>
      <c r="I39" s="49">
        <f>H39*Subsector!$S$11</f>
        <v>0</v>
      </c>
      <c r="J39" s="26">
        <f>H39*Subsector!$S$12</f>
        <v>0</v>
      </c>
      <c r="K39" s="26">
        <f>H39*Subsector!$S$13</f>
        <v>0</v>
      </c>
      <c r="L39" s="26">
        <f>H39*Subsector!$S$15</f>
        <v>0</v>
      </c>
      <c r="M39" s="26">
        <f>H39*Subsector!$S$16</f>
        <v>0</v>
      </c>
      <c r="N39" s="66">
        <f>H39*Subsector!$S$17</f>
        <v>0</v>
      </c>
      <c r="O39" s="41">
        <f t="shared" si="20"/>
        <v>0</v>
      </c>
      <c r="P39" s="26">
        <f t="shared" si="20"/>
        <v>0</v>
      </c>
      <c r="Q39" s="26">
        <f t="shared" si="21"/>
        <v>0</v>
      </c>
      <c r="R39" s="26">
        <f t="shared" si="22"/>
        <v>0</v>
      </c>
      <c r="S39" s="26">
        <f t="shared" si="23"/>
        <v>0</v>
      </c>
      <c r="T39" s="26">
        <f t="shared" si="23"/>
        <v>0</v>
      </c>
      <c r="U39" s="42">
        <f t="shared" si="24"/>
        <v>0</v>
      </c>
    </row>
    <row r="40" spans="1:21" ht="19.95" customHeight="1" x14ac:dyDescent="0.3">
      <c r="A40" s="55"/>
      <c r="B40" s="24"/>
      <c r="C40" s="24">
        <v>64053</v>
      </c>
      <c r="D40" s="25" t="s">
        <v>72</v>
      </c>
      <c r="E40" s="43"/>
      <c r="F40" s="27"/>
      <c r="G40" s="27"/>
      <c r="H40" s="44"/>
      <c r="I40" s="49">
        <f>H40*Subsector!$S$11</f>
        <v>0</v>
      </c>
      <c r="J40" s="26">
        <f>H40*Subsector!$S$12</f>
        <v>0</v>
      </c>
      <c r="K40" s="26">
        <f>H40*Subsector!$S$13</f>
        <v>0</v>
      </c>
      <c r="L40" s="26">
        <f>H40*Subsector!$S$15</f>
        <v>0</v>
      </c>
      <c r="M40" s="26">
        <f>H40*Subsector!$S$16</f>
        <v>0</v>
      </c>
      <c r="N40" s="66">
        <f>H40*Subsector!$S$17</f>
        <v>0</v>
      </c>
      <c r="O40" s="41">
        <f t="shared" si="20"/>
        <v>0</v>
      </c>
      <c r="P40" s="26">
        <f t="shared" si="20"/>
        <v>0</v>
      </c>
      <c r="Q40" s="26">
        <f t="shared" si="21"/>
        <v>0</v>
      </c>
      <c r="R40" s="26">
        <f t="shared" si="22"/>
        <v>0</v>
      </c>
      <c r="S40" s="26">
        <f t="shared" si="23"/>
        <v>0</v>
      </c>
      <c r="T40" s="26">
        <f t="shared" si="23"/>
        <v>0</v>
      </c>
      <c r="U40" s="42">
        <f t="shared" si="24"/>
        <v>0</v>
      </c>
    </row>
    <row r="41" spans="1:21" ht="19.95" customHeight="1" x14ac:dyDescent="0.3">
      <c r="A41" s="55"/>
      <c r="B41" s="24"/>
      <c r="C41" s="24">
        <v>64054</v>
      </c>
      <c r="D41" s="25" t="s">
        <v>73</v>
      </c>
      <c r="E41" s="43"/>
      <c r="F41" s="27"/>
      <c r="G41" s="27"/>
      <c r="H41" s="44"/>
      <c r="I41" s="49">
        <f>H41*Subsector!$S$11</f>
        <v>0</v>
      </c>
      <c r="J41" s="26">
        <f>H41*Subsector!$S$12</f>
        <v>0</v>
      </c>
      <c r="K41" s="26">
        <f>H41*Subsector!$S$13</f>
        <v>0</v>
      </c>
      <c r="L41" s="26">
        <f>H41*Subsector!$S$15</f>
        <v>0</v>
      </c>
      <c r="M41" s="26">
        <f>H41*Subsector!$S$16</f>
        <v>0</v>
      </c>
      <c r="N41" s="66">
        <f>H41*Subsector!$S$17</f>
        <v>0</v>
      </c>
      <c r="O41" s="41">
        <f t="shared" si="20"/>
        <v>0</v>
      </c>
      <c r="P41" s="26">
        <f t="shared" si="20"/>
        <v>0</v>
      </c>
      <c r="Q41" s="26">
        <f t="shared" si="21"/>
        <v>0</v>
      </c>
      <c r="R41" s="26">
        <f t="shared" si="22"/>
        <v>0</v>
      </c>
      <c r="S41" s="26">
        <f t="shared" si="23"/>
        <v>0</v>
      </c>
      <c r="T41" s="26">
        <f t="shared" si="23"/>
        <v>0</v>
      </c>
      <c r="U41" s="42">
        <f t="shared" si="24"/>
        <v>0</v>
      </c>
    </row>
    <row r="42" spans="1:21" ht="19.95" customHeight="1" x14ac:dyDescent="0.3">
      <c r="A42" s="55"/>
      <c r="B42" s="24"/>
      <c r="C42" s="24">
        <v>64055</v>
      </c>
      <c r="D42" s="25" t="s">
        <v>74</v>
      </c>
      <c r="E42" s="43"/>
      <c r="F42" s="27"/>
      <c r="G42" s="27"/>
      <c r="H42" s="44"/>
      <c r="I42" s="49">
        <f>H42*Subsector!$S$11</f>
        <v>0</v>
      </c>
      <c r="J42" s="26">
        <f>H42*Subsector!$S$12</f>
        <v>0</v>
      </c>
      <c r="K42" s="26">
        <f>H42*Subsector!$S$13</f>
        <v>0</v>
      </c>
      <c r="L42" s="26">
        <f>H42*Subsector!$S$15</f>
        <v>0</v>
      </c>
      <c r="M42" s="26">
        <f>H42*Subsector!$S$16</f>
        <v>0</v>
      </c>
      <c r="N42" s="66">
        <f>H42*Subsector!$S$17</f>
        <v>0</v>
      </c>
      <c r="O42" s="41">
        <f t="shared" si="20"/>
        <v>0</v>
      </c>
      <c r="P42" s="26">
        <f t="shared" si="20"/>
        <v>0</v>
      </c>
      <c r="Q42" s="26">
        <f t="shared" si="21"/>
        <v>0</v>
      </c>
      <c r="R42" s="26">
        <f t="shared" si="22"/>
        <v>0</v>
      </c>
      <c r="S42" s="26">
        <f t="shared" si="23"/>
        <v>0</v>
      </c>
      <c r="T42" s="26">
        <f t="shared" si="23"/>
        <v>0</v>
      </c>
      <c r="U42" s="42">
        <f t="shared" si="24"/>
        <v>0</v>
      </c>
    </row>
    <row r="43" spans="1:21" ht="19.95" customHeight="1" x14ac:dyDescent="0.3">
      <c r="A43" s="55"/>
      <c r="B43" s="24"/>
      <c r="C43" s="24">
        <v>64056</v>
      </c>
      <c r="D43" s="25" t="s">
        <v>75</v>
      </c>
      <c r="E43" s="43"/>
      <c r="F43" s="27"/>
      <c r="G43" s="27"/>
      <c r="H43" s="44"/>
      <c r="I43" s="49">
        <f>H43*Subsector!$S$11</f>
        <v>0</v>
      </c>
      <c r="J43" s="26">
        <f>H43*Subsector!$S$12</f>
        <v>0</v>
      </c>
      <c r="K43" s="26">
        <f>H43*Subsector!$S$13</f>
        <v>0</v>
      </c>
      <c r="L43" s="26">
        <f>H43*Subsector!$S$15</f>
        <v>0</v>
      </c>
      <c r="M43" s="26">
        <f>H43*Subsector!$S$16</f>
        <v>0</v>
      </c>
      <c r="N43" s="66">
        <f>H43*Subsector!$S$17</f>
        <v>0</v>
      </c>
      <c r="O43" s="41">
        <f t="shared" si="20"/>
        <v>0</v>
      </c>
      <c r="P43" s="26">
        <f t="shared" si="20"/>
        <v>0</v>
      </c>
      <c r="Q43" s="26">
        <f t="shared" si="21"/>
        <v>0</v>
      </c>
      <c r="R43" s="26">
        <f t="shared" si="22"/>
        <v>0</v>
      </c>
      <c r="S43" s="26">
        <f t="shared" si="23"/>
        <v>0</v>
      </c>
      <c r="T43" s="26">
        <f t="shared" si="23"/>
        <v>0</v>
      </c>
      <c r="U43" s="42">
        <f t="shared" si="24"/>
        <v>0</v>
      </c>
    </row>
    <row r="44" spans="1:21" ht="19.95" customHeight="1" x14ac:dyDescent="0.3">
      <c r="A44" s="55"/>
      <c r="B44" s="24"/>
      <c r="C44" s="24">
        <v>64058</v>
      </c>
      <c r="D44" s="25" t="s">
        <v>76</v>
      </c>
      <c r="E44" s="43"/>
      <c r="F44" s="27"/>
      <c r="G44" s="27"/>
      <c r="H44" s="44"/>
      <c r="I44" s="49">
        <f>H44*Subsector!$S$11</f>
        <v>0</v>
      </c>
      <c r="J44" s="26">
        <f>H44*Subsector!$S$12</f>
        <v>0</v>
      </c>
      <c r="K44" s="26">
        <f>H44*Subsector!$S$13</f>
        <v>0</v>
      </c>
      <c r="L44" s="26">
        <f>H44*Subsector!$S$15</f>
        <v>0</v>
      </c>
      <c r="M44" s="26">
        <f>H44*Subsector!$S$16</f>
        <v>0</v>
      </c>
      <c r="N44" s="66">
        <f>H44*Subsector!$S$17</f>
        <v>0</v>
      </c>
      <c r="O44" s="41">
        <f t="shared" si="20"/>
        <v>0</v>
      </c>
      <c r="P44" s="26">
        <f t="shared" si="20"/>
        <v>0</v>
      </c>
      <c r="Q44" s="26">
        <f t="shared" si="21"/>
        <v>0</v>
      </c>
      <c r="R44" s="26">
        <f t="shared" si="22"/>
        <v>0</v>
      </c>
      <c r="S44" s="26">
        <f t="shared" si="23"/>
        <v>0</v>
      </c>
      <c r="T44" s="26">
        <f t="shared" si="23"/>
        <v>0</v>
      </c>
      <c r="U44" s="42">
        <f t="shared" si="24"/>
        <v>0</v>
      </c>
    </row>
    <row r="45" spans="1:21" ht="19.95" customHeight="1" x14ac:dyDescent="0.3">
      <c r="A45" s="54"/>
      <c r="B45" s="28">
        <v>6406</v>
      </c>
      <c r="C45" s="23"/>
      <c r="D45" s="21" t="s">
        <v>77</v>
      </c>
      <c r="E45" s="39">
        <f>SUM(E46:E49)</f>
        <v>0</v>
      </c>
      <c r="F45" s="22">
        <f t="shared" ref="F45:U45" si="25">SUM(F46:F49)</f>
        <v>0</v>
      </c>
      <c r="G45" s="22">
        <f t="shared" si="25"/>
        <v>0</v>
      </c>
      <c r="H45" s="40">
        <f t="shared" si="25"/>
        <v>0</v>
      </c>
      <c r="I45" s="36">
        <f t="shared" si="25"/>
        <v>0</v>
      </c>
      <c r="J45" s="22">
        <f t="shared" si="25"/>
        <v>0</v>
      </c>
      <c r="K45" s="22">
        <f t="shared" si="25"/>
        <v>0</v>
      </c>
      <c r="L45" s="22">
        <f t="shared" si="25"/>
        <v>0</v>
      </c>
      <c r="M45" s="22">
        <f t="shared" si="25"/>
        <v>0</v>
      </c>
      <c r="N45" s="65">
        <f t="shared" si="25"/>
        <v>0</v>
      </c>
      <c r="O45" s="39">
        <f t="shared" si="25"/>
        <v>0</v>
      </c>
      <c r="P45" s="22">
        <f t="shared" si="25"/>
        <v>0</v>
      </c>
      <c r="Q45" s="22">
        <f t="shared" si="25"/>
        <v>0</v>
      </c>
      <c r="R45" s="22">
        <f t="shared" si="25"/>
        <v>0</v>
      </c>
      <c r="S45" s="22">
        <f t="shared" si="25"/>
        <v>0</v>
      </c>
      <c r="T45" s="22">
        <f t="shared" si="25"/>
        <v>0</v>
      </c>
      <c r="U45" s="40">
        <f t="shared" si="25"/>
        <v>0</v>
      </c>
    </row>
    <row r="46" spans="1:21" ht="19.95" customHeight="1" x14ac:dyDescent="0.3">
      <c r="A46" s="55"/>
      <c r="B46" s="28"/>
      <c r="C46" s="24">
        <v>64061</v>
      </c>
      <c r="D46" s="25" t="s">
        <v>78</v>
      </c>
      <c r="E46" s="43"/>
      <c r="F46" s="27"/>
      <c r="G46" s="27"/>
      <c r="H46" s="44"/>
      <c r="I46" s="49">
        <f>H46*Subsector!$S$11</f>
        <v>0</v>
      </c>
      <c r="J46" s="26">
        <f>H46*Subsector!$S$12</f>
        <v>0</v>
      </c>
      <c r="K46" s="26">
        <f>H46*Subsector!$S$13</f>
        <v>0</v>
      </c>
      <c r="L46" s="26">
        <f>H46*Subsector!$S$15</f>
        <v>0</v>
      </c>
      <c r="M46" s="26">
        <f>H46*Subsector!$S$16</f>
        <v>0</v>
      </c>
      <c r="N46" s="66">
        <f>H46*Subsector!$S$17</f>
        <v>0</v>
      </c>
      <c r="O46" s="41">
        <f t="shared" ref="O46:P49" si="26">ROUNDUP(SUM(E46,I46),1)</f>
        <v>0</v>
      </c>
      <c r="P46" s="26">
        <f t="shared" si="26"/>
        <v>0</v>
      </c>
      <c r="Q46" s="26">
        <f>ROUNDUP(SUM(K46),1)</f>
        <v>0</v>
      </c>
      <c r="R46" s="26">
        <f>ROUNDUP(SUM(G46,L46),1)</f>
        <v>0</v>
      </c>
      <c r="S46" s="26">
        <f t="shared" ref="S46:T49" si="27">ROUNDUP(SUM(M46),1)</f>
        <v>0</v>
      </c>
      <c r="T46" s="26">
        <f t="shared" si="27"/>
        <v>0</v>
      </c>
      <c r="U46" s="42">
        <f>SUM(O46:T46)</f>
        <v>0</v>
      </c>
    </row>
    <row r="47" spans="1:21" ht="19.95" customHeight="1" x14ac:dyDescent="0.3">
      <c r="A47" s="55"/>
      <c r="B47" s="28"/>
      <c r="C47" s="24">
        <v>64063</v>
      </c>
      <c r="D47" s="25" t="s">
        <v>79</v>
      </c>
      <c r="E47" s="43"/>
      <c r="F47" s="27"/>
      <c r="G47" s="27"/>
      <c r="H47" s="44"/>
      <c r="I47" s="49">
        <f>H47*Subsector!$S$11</f>
        <v>0</v>
      </c>
      <c r="J47" s="26">
        <f>H47*Subsector!$S$12</f>
        <v>0</v>
      </c>
      <c r="K47" s="26">
        <f>H47*Subsector!$S$13</f>
        <v>0</v>
      </c>
      <c r="L47" s="26">
        <f>H47*Subsector!$S$15</f>
        <v>0</v>
      </c>
      <c r="M47" s="26">
        <f>H47*Subsector!$S$16</f>
        <v>0</v>
      </c>
      <c r="N47" s="66">
        <f>H47*Subsector!$S$17</f>
        <v>0</v>
      </c>
      <c r="O47" s="41">
        <f t="shared" si="26"/>
        <v>0</v>
      </c>
      <c r="P47" s="26">
        <f t="shared" si="26"/>
        <v>0</v>
      </c>
      <c r="Q47" s="26">
        <f>ROUNDUP(SUM(K47),1)</f>
        <v>0</v>
      </c>
      <c r="R47" s="26">
        <f>ROUNDUP(SUM(G47,L47),1)</f>
        <v>0</v>
      </c>
      <c r="S47" s="26">
        <f t="shared" si="27"/>
        <v>0</v>
      </c>
      <c r="T47" s="26">
        <f t="shared" si="27"/>
        <v>0</v>
      </c>
      <c r="U47" s="42">
        <f>SUM(O47:T47)</f>
        <v>0</v>
      </c>
    </row>
    <row r="48" spans="1:21" ht="19.95" customHeight="1" x14ac:dyDescent="0.3">
      <c r="A48" s="55"/>
      <c r="B48" s="24"/>
      <c r="C48" s="24">
        <v>64064</v>
      </c>
      <c r="D48" s="25" t="s">
        <v>80</v>
      </c>
      <c r="E48" s="43"/>
      <c r="F48" s="27"/>
      <c r="G48" s="27"/>
      <c r="H48" s="44"/>
      <c r="I48" s="49">
        <f>H48*Subsector!$S$11</f>
        <v>0</v>
      </c>
      <c r="J48" s="26">
        <f>H48*Subsector!$S$12</f>
        <v>0</v>
      </c>
      <c r="K48" s="26">
        <f>H48*Subsector!$S$13</f>
        <v>0</v>
      </c>
      <c r="L48" s="26">
        <f>H48*Subsector!$S$15</f>
        <v>0</v>
      </c>
      <c r="M48" s="26">
        <f>H48*Subsector!$S$16</f>
        <v>0</v>
      </c>
      <c r="N48" s="66">
        <f>H48*Subsector!$S$17</f>
        <v>0</v>
      </c>
      <c r="O48" s="41">
        <f t="shared" si="26"/>
        <v>0</v>
      </c>
      <c r="P48" s="26">
        <f t="shared" si="26"/>
        <v>0</v>
      </c>
      <c r="Q48" s="26">
        <f>ROUNDUP(SUM(K48),1)</f>
        <v>0</v>
      </c>
      <c r="R48" s="26">
        <f>ROUNDUP(SUM(G48,L48),1)</f>
        <v>0</v>
      </c>
      <c r="S48" s="26">
        <f t="shared" si="27"/>
        <v>0</v>
      </c>
      <c r="T48" s="26">
        <f t="shared" si="27"/>
        <v>0</v>
      </c>
      <c r="U48" s="42">
        <f>SUM(O48:T48)</f>
        <v>0</v>
      </c>
    </row>
    <row r="49" spans="1:21" ht="19.95" customHeight="1" x14ac:dyDescent="0.3">
      <c r="A49" s="55"/>
      <c r="B49" s="24"/>
      <c r="C49" s="24">
        <v>64068</v>
      </c>
      <c r="D49" s="25" t="s">
        <v>81</v>
      </c>
      <c r="E49" s="43"/>
      <c r="F49" s="27"/>
      <c r="G49" s="27"/>
      <c r="H49" s="44"/>
      <c r="I49" s="49">
        <f>H49*Subsector!$S$11</f>
        <v>0</v>
      </c>
      <c r="J49" s="26">
        <f>H49*Subsector!$S$12</f>
        <v>0</v>
      </c>
      <c r="K49" s="26">
        <f>H49*Subsector!$S$13</f>
        <v>0</v>
      </c>
      <c r="L49" s="26">
        <f>H49*Subsector!$S$15</f>
        <v>0</v>
      </c>
      <c r="M49" s="26">
        <f>H49*Subsector!$S$16</f>
        <v>0</v>
      </c>
      <c r="N49" s="66">
        <f>H49*Subsector!$S$17</f>
        <v>0</v>
      </c>
      <c r="O49" s="41">
        <f t="shared" si="26"/>
        <v>0</v>
      </c>
      <c r="P49" s="26">
        <f t="shared" si="26"/>
        <v>0</v>
      </c>
      <c r="Q49" s="26">
        <f>ROUNDUP(SUM(K49),1)</f>
        <v>0</v>
      </c>
      <c r="R49" s="26">
        <f>ROUNDUP(SUM(G49,L49),1)</f>
        <v>0</v>
      </c>
      <c r="S49" s="26">
        <f t="shared" si="27"/>
        <v>0</v>
      </c>
      <c r="T49" s="26">
        <f t="shared" si="27"/>
        <v>0</v>
      </c>
      <c r="U49" s="42">
        <f>SUM(O49:T49)</f>
        <v>0</v>
      </c>
    </row>
    <row r="50" spans="1:21" ht="19.95" customHeight="1" x14ac:dyDescent="0.3">
      <c r="A50" s="51"/>
      <c r="B50" s="28">
        <v>6407</v>
      </c>
      <c r="C50" s="28"/>
      <c r="D50" s="29" t="s">
        <v>82</v>
      </c>
      <c r="E50" s="39">
        <f>SUM(E51:E58)</f>
        <v>0</v>
      </c>
      <c r="F50" s="22">
        <f t="shared" ref="F50:U50" si="28">SUM(F51:F58)</f>
        <v>0</v>
      </c>
      <c r="G50" s="22">
        <f t="shared" si="28"/>
        <v>0</v>
      </c>
      <c r="H50" s="40">
        <f t="shared" si="28"/>
        <v>0</v>
      </c>
      <c r="I50" s="36">
        <f t="shared" si="28"/>
        <v>0</v>
      </c>
      <c r="J50" s="22">
        <f t="shared" si="28"/>
        <v>0</v>
      </c>
      <c r="K50" s="22">
        <f t="shared" si="28"/>
        <v>0</v>
      </c>
      <c r="L50" s="22">
        <f t="shared" si="28"/>
        <v>0</v>
      </c>
      <c r="M50" s="22">
        <f t="shared" si="28"/>
        <v>0</v>
      </c>
      <c r="N50" s="65">
        <f t="shared" si="28"/>
        <v>0</v>
      </c>
      <c r="O50" s="39">
        <f t="shared" si="28"/>
        <v>0</v>
      </c>
      <c r="P50" s="22">
        <f t="shared" si="28"/>
        <v>0</v>
      </c>
      <c r="Q50" s="22">
        <f t="shared" si="28"/>
        <v>0</v>
      </c>
      <c r="R50" s="22">
        <f t="shared" si="28"/>
        <v>0</v>
      </c>
      <c r="S50" s="22">
        <f t="shared" si="28"/>
        <v>0</v>
      </c>
      <c r="T50" s="22">
        <f t="shared" si="28"/>
        <v>0</v>
      </c>
      <c r="U50" s="40">
        <f t="shared" si="28"/>
        <v>0</v>
      </c>
    </row>
    <row r="51" spans="1:21" ht="19.95" customHeight="1" x14ac:dyDescent="0.3">
      <c r="A51" s="52"/>
      <c r="B51" s="28"/>
      <c r="C51" s="30">
        <v>64071</v>
      </c>
      <c r="D51" s="31" t="s">
        <v>83</v>
      </c>
      <c r="E51" s="43"/>
      <c r="F51" s="27"/>
      <c r="G51" s="27"/>
      <c r="H51" s="44"/>
      <c r="I51" s="49">
        <f>H51*Subsector!$S$11</f>
        <v>0</v>
      </c>
      <c r="J51" s="26">
        <f>H51*Subsector!$S$12</f>
        <v>0</v>
      </c>
      <c r="K51" s="26">
        <f>H51*Subsector!$S$13</f>
        <v>0</v>
      </c>
      <c r="L51" s="26">
        <f>H51*Subsector!$S$15</f>
        <v>0</v>
      </c>
      <c r="M51" s="26">
        <f>H51*Subsector!$S$16</f>
        <v>0</v>
      </c>
      <c r="N51" s="66">
        <f>H51*Subsector!$S$17</f>
        <v>0</v>
      </c>
      <c r="O51" s="41">
        <f t="shared" ref="O51:P58" si="29">ROUNDUP(SUM(E51,I51),1)</f>
        <v>0</v>
      </c>
      <c r="P51" s="26">
        <f t="shared" si="29"/>
        <v>0</v>
      </c>
      <c r="Q51" s="26">
        <f t="shared" ref="Q51:Q58" si="30">ROUNDUP(SUM(K51),1)</f>
        <v>0</v>
      </c>
      <c r="R51" s="26">
        <f t="shared" ref="R51:R58" si="31">ROUNDUP(SUM(G51,L51),1)</f>
        <v>0</v>
      </c>
      <c r="S51" s="26">
        <f t="shared" ref="S51:T58" si="32">ROUNDUP(SUM(M51),1)</f>
        <v>0</v>
      </c>
      <c r="T51" s="26">
        <f t="shared" si="32"/>
        <v>0</v>
      </c>
      <c r="U51" s="42">
        <f t="shared" ref="U51:U58" si="33">SUM(O51:T51)</f>
        <v>0</v>
      </c>
    </row>
    <row r="52" spans="1:21" ht="19.95" customHeight="1" x14ac:dyDescent="0.3">
      <c r="A52" s="52"/>
      <c r="B52" s="28"/>
      <c r="C52" s="30">
        <v>64072</v>
      </c>
      <c r="D52" s="31" t="s">
        <v>84</v>
      </c>
      <c r="E52" s="43"/>
      <c r="F52" s="27"/>
      <c r="G52" s="27"/>
      <c r="H52" s="44"/>
      <c r="I52" s="49">
        <f>H52*Subsector!$S$11</f>
        <v>0</v>
      </c>
      <c r="J52" s="26">
        <f>H52*Subsector!$S$12</f>
        <v>0</v>
      </c>
      <c r="K52" s="26">
        <f>H52*Subsector!$S$13</f>
        <v>0</v>
      </c>
      <c r="L52" s="26">
        <f>H52*Subsector!$S$15</f>
        <v>0</v>
      </c>
      <c r="M52" s="26">
        <f>H52*Subsector!$S$16</f>
        <v>0</v>
      </c>
      <c r="N52" s="66">
        <f>H52*Subsector!$S$17</f>
        <v>0</v>
      </c>
      <c r="O52" s="41">
        <f t="shared" si="29"/>
        <v>0</v>
      </c>
      <c r="P52" s="26">
        <f t="shared" si="29"/>
        <v>0</v>
      </c>
      <c r="Q52" s="26">
        <f t="shared" si="30"/>
        <v>0</v>
      </c>
      <c r="R52" s="26">
        <f t="shared" si="31"/>
        <v>0</v>
      </c>
      <c r="S52" s="26">
        <f t="shared" si="32"/>
        <v>0</v>
      </c>
      <c r="T52" s="26">
        <f t="shared" si="32"/>
        <v>0</v>
      </c>
      <c r="U52" s="42">
        <f t="shared" si="33"/>
        <v>0</v>
      </c>
    </row>
    <row r="53" spans="1:21" ht="19.95" customHeight="1" x14ac:dyDescent="0.3">
      <c r="A53" s="52"/>
      <c r="B53" s="28"/>
      <c r="C53" s="30">
        <v>64073</v>
      </c>
      <c r="D53" s="31" t="s">
        <v>85</v>
      </c>
      <c r="E53" s="43"/>
      <c r="F53" s="27"/>
      <c r="G53" s="27"/>
      <c r="H53" s="44"/>
      <c r="I53" s="49">
        <f>H53*Subsector!$S$11</f>
        <v>0</v>
      </c>
      <c r="J53" s="26">
        <f>H53*Subsector!$S$12</f>
        <v>0</v>
      </c>
      <c r="K53" s="26">
        <f>H53*Subsector!$S$13</f>
        <v>0</v>
      </c>
      <c r="L53" s="26">
        <f>H53*Subsector!$S$15</f>
        <v>0</v>
      </c>
      <c r="M53" s="26">
        <f>H53*Subsector!$S$16</f>
        <v>0</v>
      </c>
      <c r="N53" s="66">
        <f>H53*Subsector!$S$17</f>
        <v>0</v>
      </c>
      <c r="O53" s="41">
        <f t="shared" si="29"/>
        <v>0</v>
      </c>
      <c r="P53" s="26">
        <f t="shared" si="29"/>
        <v>0</v>
      </c>
      <c r="Q53" s="26">
        <f t="shared" si="30"/>
        <v>0</v>
      </c>
      <c r="R53" s="26">
        <f t="shared" si="31"/>
        <v>0</v>
      </c>
      <c r="S53" s="26">
        <f t="shared" si="32"/>
        <v>0</v>
      </c>
      <c r="T53" s="26">
        <f t="shared" si="32"/>
        <v>0</v>
      </c>
      <c r="U53" s="42">
        <f t="shared" si="33"/>
        <v>0</v>
      </c>
    </row>
    <row r="54" spans="1:21" ht="19.95" customHeight="1" x14ac:dyDescent="0.3">
      <c r="A54" s="52"/>
      <c r="B54" s="24"/>
      <c r="C54" s="30">
        <v>64074</v>
      </c>
      <c r="D54" s="25" t="s">
        <v>86</v>
      </c>
      <c r="E54" s="43"/>
      <c r="F54" s="27"/>
      <c r="G54" s="27"/>
      <c r="H54" s="44"/>
      <c r="I54" s="49">
        <f>H54*Subsector!$S$11</f>
        <v>0</v>
      </c>
      <c r="J54" s="26">
        <f>H54*Subsector!$S$12</f>
        <v>0</v>
      </c>
      <c r="K54" s="26">
        <f>H54*Subsector!$S$13</f>
        <v>0</v>
      </c>
      <c r="L54" s="26">
        <f>H54*Subsector!$S$15</f>
        <v>0</v>
      </c>
      <c r="M54" s="26">
        <f>H54*Subsector!$S$16</f>
        <v>0</v>
      </c>
      <c r="N54" s="66">
        <f>H54*Subsector!$S$17</f>
        <v>0</v>
      </c>
      <c r="O54" s="41">
        <f t="shared" si="29"/>
        <v>0</v>
      </c>
      <c r="P54" s="26">
        <f t="shared" si="29"/>
        <v>0</v>
      </c>
      <c r="Q54" s="26">
        <f t="shared" si="30"/>
        <v>0</v>
      </c>
      <c r="R54" s="26">
        <f t="shared" si="31"/>
        <v>0</v>
      </c>
      <c r="S54" s="26">
        <f t="shared" si="32"/>
        <v>0</v>
      </c>
      <c r="T54" s="26">
        <f t="shared" si="32"/>
        <v>0</v>
      </c>
      <c r="U54" s="42">
        <f t="shared" si="33"/>
        <v>0</v>
      </c>
    </row>
    <row r="55" spans="1:21" ht="19.95" customHeight="1" x14ac:dyDescent="0.3">
      <c r="A55" s="52"/>
      <c r="B55" s="28"/>
      <c r="C55" s="30">
        <v>64075</v>
      </c>
      <c r="D55" s="31" t="s">
        <v>48</v>
      </c>
      <c r="E55" s="43"/>
      <c r="F55" s="27"/>
      <c r="G55" s="27"/>
      <c r="H55" s="44"/>
      <c r="I55" s="49">
        <f>H55*Subsector!$S$11</f>
        <v>0</v>
      </c>
      <c r="J55" s="26">
        <f>H55*Subsector!$S$12</f>
        <v>0</v>
      </c>
      <c r="K55" s="26">
        <f>H55*Subsector!$S$13</f>
        <v>0</v>
      </c>
      <c r="L55" s="26">
        <f>H55*Subsector!$S$15</f>
        <v>0</v>
      </c>
      <c r="M55" s="26">
        <f>H55*Subsector!$S$16</f>
        <v>0</v>
      </c>
      <c r="N55" s="66">
        <f>H55*Subsector!$S$17</f>
        <v>0</v>
      </c>
      <c r="O55" s="41">
        <f t="shared" si="29"/>
        <v>0</v>
      </c>
      <c r="P55" s="26">
        <f t="shared" si="29"/>
        <v>0</v>
      </c>
      <c r="Q55" s="26">
        <f t="shared" si="30"/>
        <v>0</v>
      </c>
      <c r="R55" s="26">
        <f t="shared" si="31"/>
        <v>0</v>
      </c>
      <c r="S55" s="26">
        <f t="shared" si="32"/>
        <v>0</v>
      </c>
      <c r="T55" s="26">
        <f t="shared" si="32"/>
        <v>0</v>
      </c>
      <c r="U55" s="42">
        <f t="shared" si="33"/>
        <v>0</v>
      </c>
    </row>
    <row r="56" spans="1:21" ht="19.95" customHeight="1" x14ac:dyDescent="0.3">
      <c r="A56" s="52"/>
      <c r="B56" s="28"/>
      <c r="C56" s="30">
        <v>64076</v>
      </c>
      <c r="D56" s="31" t="s">
        <v>49</v>
      </c>
      <c r="E56" s="43"/>
      <c r="F56" s="27"/>
      <c r="G56" s="27"/>
      <c r="H56" s="44"/>
      <c r="I56" s="49">
        <f>H56*Subsector!$S$11</f>
        <v>0</v>
      </c>
      <c r="J56" s="26">
        <f>H56*Subsector!$S$12</f>
        <v>0</v>
      </c>
      <c r="K56" s="26">
        <f>H56*Subsector!$S$13</f>
        <v>0</v>
      </c>
      <c r="L56" s="26">
        <f>H56*Subsector!$S$15</f>
        <v>0</v>
      </c>
      <c r="M56" s="26">
        <f>H56*Subsector!$S$16</f>
        <v>0</v>
      </c>
      <c r="N56" s="66">
        <f>H56*Subsector!$S$17</f>
        <v>0</v>
      </c>
      <c r="O56" s="41">
        <f t="shared" si="29"/>
        <v>0</v>
      </c>
      <c r="P56" s="26">
        <f t="shared" si="29"/>
        <v>0</v>
      </c>
      <c r="Q56" s="26">
        <f t="shared" si="30"/>
        <v>0</v>
      </c>
      <c r="R56" s="26">
        <f t="shared" si="31"/>
        <v>0</v>
      </c>
      <c r="S56" s="26">
        <f t="shared" si="32"/>
        <v>0</v>
      </c>
      <c r="T56" s="26">
        <f t="shared" si="32"/>
        <v>0</v>
      </c>
      <c r="U56" s="42">
        <f t="shared" si="33"/>
        <v>0</v>
      </c>
    </row>
    <row r="57" spans="1:21" ht="19.95" customHeight="1" x14ac:dyDescent="0.3">
      <c r="A57" s="52"/>
      <c r="B57" s="28"/>
      <c r="C57" s="30">
        <v>64077</v>
      </c>
      <c r="D57" s="31" t="s">
        <v>50</v>
      </c>
      <c r="E57" s="43"/>
      <c r="F57" s="27"/>
      <c r="G57" s="27"/>
      <c r="H57" s="44"/>
      <c r="I57" s="49">
        <f>H57*Subsector!$S$11</f>
        <v>0</v>
      </c>
      <c r="J57" s="26">
        <f>H57*Subsector!$S$12</f>
        <v>0</v>
      </c>
      <c r="K57" s="26">
        <f>H57*Subsector!$S$13</f>
        <v>0</v>
      </c>
      <c r="L57" s="26">
        <f>H57*Subsector!$S$15</f>
        <v>0</v>
      </c>
      <c r="M57" s="26">
        <f>H57*Subsector!$S$16</f>
        <v>0</v>
      </c>
      <c r="N57" s="66">
        <f>H57*Subsector!$S$17</f>
        <v>0</v>
      </c>
      <c r="O57" s="41">
        <f t="shared" si="29"/>
        <v>0</v>
      </c>
      <c r="P57" s="26">
        <f t="shared" si="29"/>
        <v>0</v>
      </c>
      <c r="Q57" s="26">
        <f t="shared" si="30"/>
        <v>0</v>
      </c>
      <c r="R57" s="26">
        <f t="shared" si="31"/>
        <v>0</v>
      </c>
      <c r="S57" s="26">
        <f t="shared" si="32"/>
        <v>0</v>
      </c>
      <c r="T57" s="26">
        <f t="shared" si="32"/>
        <v>0</v>
      </c>
      <c r="U57" s="42">
        <f t="shared" si="33"/>
        <v>0</v>
      </c>
    </row>
    <row r="58" spans="1:21" ht="19.95" customHeight="1" x14ac:dyDescent="0.3">
      <c r="A58" s="52"/>
      <c r="B58" s="28"/>
      <c r="C58" s="30">
        <v>64078</v>
      </c>
      <c r="D58" s="31" t="s">
        <v>87</v>
      </c>
      <c r="E58" s="43"/>
      <c r="F58" s="27"/>
      <c r="G58" s="27"/>
      <c r="H58" s="44"/>
      <c r="I58" s="49">
        <f>H58*Subsector!$S$11</f>
        <v>0</v>
      </c>
      <c r="J58" s="26">
        <f>H58*Subsector!$S$12</f>
        <v>0</v>
      </c>
      <c r="K58" s="26">
        <f>H58*Subsector!$S$13</f>
        <v>0</v>
      </c>
      <c r="L58" s="26">
        <f>H58*Subsector!$S$15</f>
        <v>0</v>
      </c>
      <c r="M58" s="26">
        <f>H58*Subsector!$S$16</f>
        <v>0</v>
      </c>
      <c r="N58" s="66">
        <f>H58*Subsector!$S$17</f>
        <v>0</v>
      </c>
      <c r="O58" s="41">
        <f t="shared" si="29"/>
        <v>0</v>
      </c>
      <c r="P58" s="26">
        <f t="shared" si="29"/>
        <v>0</v>
      </c>
      <c r="Q58" s="26">
        <f t="shared" si="30"/>
        <v>0</v>
      </c>
      <c r="R58" s="26">
        <f t="shared" si="31"/>
        <v>0</v>
      </c>
      <c r="S58" s="26">
        <f t="shared" si="32"/>
        <v>0</v>
      </c>
      <c r="T58" s="26">
        <f t="shared" si="32"/>
        <v>0</v>
      </c>
      <c r="U58" s="42">
        <f t="shared" si="33"/>
        <v>0</v>
      </c>
    </row>
    <row r="59" spans="1:21" ht="19.95" customHeight="1" x14ac:dyDescent="0.3">
      <c r="A59" s="51"/>
      <c r="B59" s="28">
        <v>6498</v>
      </c>
      <c r="C59" s="28"/>
      <c r="D59" s="29" t="s">
        <v>88</v>
      </c>
      <c r="E59" s="39">
        <f>SUM(E60)</f>
        <v>0</v>
      </c>
      <c r="F59" s="22">
        <f t="shared" ref="F59:U59" si="34">SUM(F60)</f>
        <v>0</v>
      </c>
      <c r="G59" s="22">
        <f>SUM(G60)</f>
        <v>0</v>
      </c>
      <c r="H59" s="40">
        <f t="shared" si="34"/>
        <v>0</v>
      </c>
      <c r="I59" s="36">
        <f t="shared" si="34"/>
        <v>0</v>
      </c>
      <c r="J59" s="22">
        <f t="shared" si="34"/>
        <v>0</v>
      </c>
      <c r="K59" s="22">
        <f t="shared" si="34"/>
        <v>0</v>
      </c>
      <c r="L59" s="22">
        <f t="shared" si="34"/>
        <v>0</v>
      </c>
      <c r="M59" s="22">
        <f t="shared" si="34"/>
        <v>0</v>
      </c>
      <c r="N59" s="65">
        <f t="shared" si="34"/>
        <v>0</v>
      </c>
      <c r="O59" s="39">
        <f t="shared" si="34"/>
        <v>0</v>
      </c>
      <c r="P59" s="22">
        <f t="shared" si="34"/>
        <v>0</v>
      </c>
      <c r="Q59" s="22">
        <f t="shared" si="34"/>
        <v>0</v>
      </c>
      <c r="R59" s="22">
        <f t="shared" si="34"/>
        <v>0</v>
      </c>
      <c r="S59" s="22">
        <f t="shared" si="34"/>
        <v>0</v>
      </c>
      <c r="T59" s="22">
        <f t="shared" si="34"/>
        <v>0</v>
      </c>
      <c r="U59" s="40">
        <f t="shared" si="34"/>
        <v>0</v>
      </c>
    </row>
    <row r="60" spans="1:21" ht="19.95" customHeight="1" thickBot="1" x14ac:dyDescent="0.35">
      <c r="A60" s="56"/>
      <c r="B60" s="57"/>
      <c r="C60" s="58">
        <v>64981</v>
      </c>
      <c r="D60" s="59" t="s">
        <v>88</v>
      </c>
      <c r="E60" s="68"/>
      <c r="F60" s="69"/>
      <c r="G60" s="69"/>
      <c r="H60" s="70"/>
      <c r="I60" s="63">
        <f>H60*Subsector!$S$11</f>
        <v>0</v>
      </c>
      <c r="J60" s="61">
        <f>H60*Subsector!$S$12</f>
        <v>0</v>
      </c>
      <c r="K60" s="61">
        <f>H60*Subsector!$S$13</f>
        <v>0</v>
      </c>
      <c r="L60" s="61">
        <f>H60*Subsector!$S$15</f>
        <v>0</v>
      </c>
      <c r="M60" s="61">
        <f>H60*Subsector!$S$16</f>
        <v>0</v>
      </c>
      <c r="N60" s="67">
        <f>H60*Subsector!$S$17</f>
        <v>0</v>
      </c>
      <c r="O60" s="60">
        <f>ROUNDUP(SUM(E60,I60),1)</f>
        <v>0</v>
      </c>
      <c r="P60" s="61">
        <f>ROUNDUP(SUM(F60,J60),1)</f>
        <v>0</v>
      </c>
      <c r="Q60" s="61">
        <f>ROUNDUP(SUM(K60),1)</f>
        <v>0</v>
      </c>
      <c r="R60" s="61">
        <f>ROUNDUP(SUM(G60,L60),1)</f>
        <v>0</v>
      </c>
      <c r="S60" s="61">
        <f>ROUNDUP(SUM(M60),1)</f>
        <v>0</v>
      </c>
      <c r="T60" s="61">
        <f>ROUNDUP(SUM(N60),1)</f>
        <v>0</v>
      </c>
      <c r="U60" s="62">
        <f>SUM(O60:T60)</f>
        <v>0</v>
      </c>
    </row>
  </sheetData>
  <sheetProtection algorithmName="SHA-512" hashValue="KmSHzRp61GtjC6jTXecBr/bIcd0xkYXoUFKAdiWwnSWNWD+duuVr/UifqF3RtELWHo8D6EjoAnpVa7hvoZEXhw==" saltValue="8RAj/nKYH7rr5CmH1CJq4A==" spinCount="100000" sheet="1" formatCells="0" formatColumns="0" formatRows="0" sort="0" autoFilter="0" pivotTables="0"/>
  <mergeCells count="8">
    <mergeCell ref="A3:U3"/>
    <mergeCell ref="A5:A7"/>
    <mergeCell ref="B5:B7"/>
    <mergeCell ref="C5:C7"/>
    <mergeCell ref="D5:D7"/>
    <mergeCell ref="E5:H5"/>
    <mergeCell ref="I5:N6"/>
    <mergeCell ref="O5:U6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66FD6-FABE-4B88-889E-7A176A89C56E}">
  <sheetPr codeName="Sheet14"/>
  <dimension ref="A1:U60"/>
  <sheetViews>
    <sheetView zoomScale="70" zoomScaleNormal="70" workbookViewId="0">
      <selection activeCell="A4" sqref="A4"/>
    </sheetView>
  </sheetViews>
  <sheetFormatPr defaultRowHeight="14.4" x14ac:dyDescent="0.3"/>
  <cols>
    <col min="1" max="1" width="6" customWidth="1"/>
    <col min="2" max="2" width="6.5546875" customWidth="1"/>
    <col min="3" max="3" width="9.44140625" customWidth="1"/>
    <col min="4" max="4" width="48.77734375" customWidth="1"/>
    <col min="5" max="9" width="8.21875" customWidth="1"/>
    <col min="10" max="21" width="8.77734375" customWidth="1"/>
  </cols>
  <sheetData>
    <row r="1" spans="1:21" ht="21.45" customHeight="1" x14ac:dyDescent="0.3"/>
    <row r="2" spans="1:21" ht="21.45" customHeight="1" x14ac:dyDescent="0.3"/>
    <row r="3" spans="1:21" ht="36.450000000000003" customHeight="1" x14ac:dyDescent="0.3">
      <c r="A3" s="108" t="s">
        <v>98</v>
      </c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</row>
    <row r="4" spans="1:21" ht="21.45" customHeight="1" thickBot="1" x14ac:dyDescent="0.35"/>
    <row r="5" spans="1:21" ht="43.5" customHeight="1" x14ac:dyDescent="0.3">
      <c r="A5" s="123" t="s">
        <v>39</v>
      </c>
      <c r="B5" s="121" t="s">
        <v>40</v>
      </c>
      <c r="C5" s="121" t="s">
        <v>41</v>
      </c>
      <c r="D5" s="119" t="s">
        <v>42</v>
      </c>
      <c r="E5" s="125" t="s">
        <v>99</v>
      </c>
      <c r="F5" s="126"/>
      <c r="G5" s="126"/>
      <c r="H5" s="127"/>
      <c r="I5" s="140" t="s">
        <v>94</v>
      </c>
      <c r="J5" s="141"/>
      <c r="K5" s="141"/>
      <c r="L5" s="141"/>
      <c r="M5" s="141"/>
      <c r="N5" s="142"/>
      <c r="O5" s="134" t="s">
        <v>95</v>
      </c>
      <c r="P5" s="135"/>
      <c r="Q5" s="135"/>
      <c r="R5" s="135"/>
      <c r="S5" s="135"/>
      <c r="T5" s="135"/>
      <c r="U5" s="136"/>
    </row>
    <row r="6" spans="1:21" ht="43.05" customHeight="1" x14ac:dyDescent="0.8">
      <c r="A6" s="124"/>
      <c r="B6" s="122"/>
      <c r="C6" s="122"/>
      <c r="D6" s="120"/>
      <c r="E6" s="45"/>
      <c r="F6" s="46"/>
      <c r="G6" s="46"/>
      <c r="H6" s="47"/>
      <c r="I6" s="143"/>
      <c r="J6" s="144"/>
      <c r="K6" s="144"/>
      <c r="L6" s="144"/>
      <c r="M6" s="144"/>
      <c r="N6" s="145"/>
      <c r="O6" s="137"/>
      <c r="P6" s="138"/>
      <c r="Q6" s="138"/>
      <c r="R6" s="138"/>
      <c r="S6" s="138"/>
      <c r="T6" s="138"/>
      <c r="U6" s="139"/>
    </row>
    <row r="7" spans="1:21" ht="132.44999999999999" customHeight="1" x14ac:dyDescent="0.3">
      <c r="A7" s="124"/>
      <c r="B7" s="122"/>
      <c r="C7" s="122"/>
      <c r="D7" s="120"/>
      <c r="E7" s="78" t="s">
        <v>25</v>
      </c>
      <c r="F7" s="74" t="s">
        <v>26</v>
      </c>
      <c r="G7" s="74" t="s">
        <v>29</v>
      </c>
      <c r="H7" s="79" t="s">
        <v>91</v>
      </c>
      <c r="I7" s="77" t="s">
        <v>25</v>
      </c>
      <c r="J7" s="75" t="s">
        <v>26</v>
      </c>
      <c r="K7" s="75" t="s">
        <v>27</v>
      </c>
      <c r="L7" s="75" t="s">
        <v>29</v>
      </c>
      <c r="M7" s="75" t="s">
        <v>30</v>
      </c>
      <c r="N7" s="80" t="s">
        <v>31</v>
      </c>
      <c r="O7" s="81" t="s">
        <v>25</v>
      </c>
      <c r="P7" s="76" t="s">
        <v>26</v>
      </c>
      <c r="Q7" s="76" t="s">
        <v>27</v>
      </c>
      <c r="R7" s="76" t="s">
        <v>29</v>
      </c>
      <c r="S7" s="76" t="s">
        <v>30</v>
      </c>
      <c r="T7" s="76" t="s">
        <v>31</v>
      </c>
      <c r="U7" s="82" t="s">
        <v>12</v>
      </c>
    </row>
    <row r="8" spans="1:21" ht="19.95" customHeight="1" x14ac:dyDescent="0.3">
      <c r="A8" s="50">
        <v>64</v>
      </c>
      <c r="B8" s="32"/>
      <c r="C8" s="32"/>
      <c r="D8" s="33" t="s">
        <v>43</v>
      </c>
      <c r="E8" s="37">
        <f>SUM(E9,E18,E27,E33,E37,E45,E50,E59)</f>
        <v>0</v>
      </c>
      <c r="F8" s="34">
        <f t="shared" ref="F8:U8" si="0">SUM(F9,F18,F27,F33,F37,F45,F50,F59)</f>
        <v>0</v>
      </c>
      <c r="G8" s="34">
        <f t="shared" si="0"/>
        <v>0</v>
      </c>
      <c r="H8" s="38">
        <f t="shared" si="0"/>
        <v>0</v>
      </c>
      <c r="I8" s="35">
        <f t="shared" si="0"/>
        <v>0</v>
      </c>
      <c r="J8" s="34">
        <f t="shared" si="0"/>
        <v>0</v>
      </c>
      <c r="K8" s="34">
        <f t="shared" si="0"/>
        <v>0</v>
      </c>
      <c r="L8" s="34">
        <f t="shared" si="0"/>
        <v>0</v>
      </c>
      <c r="M8" s="34">
        <f t="shared" si="0"/>
        <v>0</v>
      </c>
      <c r="N8" s="64">
        <f t="shared" si="0"/>
        <v>0</v>
      </c>
      <c r="O8" s="37">
        <f t="shared" si="0"/>
        <v>0</v>
      </c>
      <c r="P8" s="34">
        <f t="shared" si="0"/>
        <v>0</v>
      </c>
      <c r="Q8" s="34">
        <f t="shared" si="0"/>
        <v>0</v>
      </c>
      <c r="R8" s="34">
        <f t="shared" si="0"/>
        <v>0</v>
      </c>
      <c r="S8" s="34">
        <f t="shared" si="0"/>
        <v>0</v>
      </c>
      <c r="T8" s="34">
        <f t="shared" si="0"/>
        <v>0</v>
      </c>
      <c r="U8" s="38">
        <f t="shared" si="0"/>
        <v>0</v>
      </c>
    </row>
    <row r="9" spans="1:21" ht="19.95" customHeight="1" x14ac:dyDescent="0.3">
      <c r="A9" s="51"/>
      <c r="B9" s="23">
        <v>6401</v>
      </c>
      <c r="C9" s="23"/>
      <c r="D9" s="21" t="s">
        <v>90</v>
      </c>
      <c r="E9" s="39">
        <f>SUM(E10:E17)</f>
        <v>0</v>
      </c>
      <c r="F9" s="22">
        <f>SUM(F10:F17)</f>
        <v>0</v>
      </c>
      <c r="G9" s="22">
        <f t="shared" ref="G9:U9" si="1">SUM(G10:G17)</f>
        <v>0</v>
      </c>
      <c r="H9" s="40">
        <f t="shared" si="1"/>
        <v>0</v>
      </c>
      <c r="I9" s="36">
        <f t="shared" si="1"/>
        <v>0</v>
      </c>
      <c r="J9" s="22">
        <f t="shared" si="1"/>
        <v>0</v>
      </c>
      <c r="K9" s="22">
        <f t="shared" si="1"/>
        <v>0</v>
      </c>
      <c r="L9" s="22">
        <f t="shared" si="1"/>
        <v>0</v>
      </c>
      <c r="M9" s="22">
        <f t="shared" si="1"/>
        <v>0</v>
      </c>
      <c r="N9" s="65">
        <f t="shared" si="1"/>
        <v>0</v>
      </c>
      <c r="O9" s="39">
        <f>SUM(O10:O17)</f>
        <v>0</v>
      </c>
      <c r="P9" s="22">
        <f t="shared" si="1"/>
        <v>0</v>
      </c>
      <c r="Q9" s="22">
        <f t="shared" si="1"/>
        <v>0</v>
      </c>
      <c r="R9" s="22">
        <f t="shared" si="1"/>
        <v>0</v>
      </c>
      <c r="S9" s="22">
        <f t="shared" si="1"/>
        <v>0</v>
      </c>
      <c r="T9" s="22">
        <f t="shared" si="1"/>
        <v>0</v>
      </c>
      <c r="U9" s="40">
        <f t="shared" si="1"/>
        <v>0</v>
      </c>
    </row>
    <row r="10" spans="1:21" ht="19.95" customHeight="1" x14ac:dyDescent="0.3">
      <c r="A10" s="52"/>
      <c r="B10" s="24"/>
      <c r="C10" s="24">
        <v>64011</v>
      </c>
      <c r="D10" s="25" t="s">
        <v>44</v>
      </c>
      <c r="E10" s="43"/>
      <c r="F10" s="27"/>
      <c r="G10" s="27"/>
      <c r="H10" s="44"/>
      <c r="I10" s="49">
        <f>H10*Subsector!$S$11</f>
        <v>0</v>
      </c>
      <c r="J10" s="26">
        <f>H10*Subsector!$S$12</f>
        <v>0</v>
      </c>
      <c r="K10" s="26">
        <f>H10*Subsector!$S$13</f>
        <v>0</v>
      </c>
      <c r="L10" s="26">
        <f>H10*Subsector!$S$15</f>
        <v>0</v>
      </c>
      <c r="M10" s="26">
        <f>H10*Subsector!$S$16</f>
        <v>0</v>
      </c>
      <c r="N10" s="66">
        <f>H10*Subsector!$S$17</f>
        <v>0</v>
      </c>
      <c r="O10" s="41">
        <f t="shared" ref="O10:P17" si="2">ROUNDUP(SUM(E10,I10),1)</f>
        <v>0</v>
      </c>
      <c r="P10" s="26">
        <f t="shared" si="2"/>
        <v>0</v>
      </c>
      <c r="Q10" s="26">
        <f t="shared" ref="Q10:Q17" si="3">ROUNDUP(SUM(K10),1)</f>
        <v>0</v>
      </c>
      <c r="R10" s="26">
        <f t="shared" ref="R10:R17" si="4">ROUNDUP(SUM(G10,L10),1)</f>
        <v>0</v>
      </c>
      <c r="S10" s="26">
        <f t="shared" ref="S10:T17" si="5">ROUNDUP(SUM(M10),1)</f>
        <v>0</v>
      </c>
      <c r="T10" s="26">
        <f t="shared" si="5"/>
        <v>0</v>
      </c>
      <c r="U10" s="42">
        <f t="shared" ref="U10:U17" si="6">SUM(O10:T10)</f>
        <v>0</v>
      </c>
    </row>
    <row r="11" spans="1:21" ht="19.95" customHeight="1" x14ac:dyDescent="0.3">
      <c r="A11" s="52"/>
      <c r="B11" s="24"/>
      <c r="C11" s="24">
        <v>64012</v>
      </c>
      <c r="D11" s="25" t="s">
        <v>89</v>
      </c>
      <c r="E11" s="43"/>
      <c r="F11" s="27"/>
      <c r="G11" s="27"/>
      <c r="H11" s="44"/>
      <c r="I11" s="49">
        <f>H11*Subsector!$S$11</f>
        <v>0</v>
      </c>
      <c r="J11" s="26">
        <f>H11*Subsector!$S$12</f>
        <v>0</v>
      </c>
      <c r="K11" s="26">
        <f>H11*Subsector!$S$13</f>
        <v>0</v>
      </c>
      <c r="L11" s="26">
        <f>H11*Subsector!$S$15</f>
        <v>0</v>
      </c>
      <c r="M11" s="26">
        <f>H11*Subsector!$S$16</f>
        <v>0</v>
      </c>
      <c r="N11" s="66">
        <f>H11*Subsector!$S$17</f>
        <v>0</v>
      </c>
      <c r="O11" s="41">
        <f t="shared" si="2"/>
        <v>0</v>
      </c>
      <c r="P11" s="26">
        <f t="shared" si="2"/>
        <v>0</v>
      </c>
      <c r="Q11" s="26">
        <f t="shared" si="3"/>
        <v>0</v>
      </c>
      <c r="R11" s="26">
        <f t="shared" si="4"/>
        <v>0</v>
      </c>
      <c r="S11" s="26">
        <f t="shared" si="5"/>
        <v>0</v>
      </c>
      <c r="T11" s="26">
        <f t="shared" si="5"/>
        <v>0</v>
      </c>
      <c r="U11" s="42">
        <f t="shared" si="6"/>
        <v>0</v>
      </c>
    </row>
    <row r="12" spans="1:21" ht="19.95" customHeight="1" x14ac:dyDescent="0.3">
      <c r="A12" s="52"/>
      <c r="B12" s="24"/>
      <c r="C12" s="24">
        <v>64013</v>
      </c>
      <c r="D12" s="25" t="s">
        <v>45</v>
      </c>
      <c r="E12" s="43"/>
      <c r="F12" s="27"/>
      <c r="G12" s="27"/>
      <c r="H12" s="44"/>
      <c r="I12" s="49">
        <f>H12*Subsector!$S$11</f>
        <v>0</v>
      </c>
      <c r="J12" s="26">
        <f>H12*Subsector!$S$12</f>
        <v>0</v>
      </c>
      <c r="K12" s="26">
        <f>H12*Subsector!$S$13</f>
        <v>0</v>
      </c>
      <c r="L12" s="26">
        <f>H12*Subsector!$S$15</f>
        <v>0</v>
      </c>
      <c r="M12" s="26">
        <f>H12*Subsector!$S$16</f>
        <v>0</v>
      </c>
      <c r="N12" s="66">
        <f>H12*Subsector!$S$17</f>
        <v>0</v>
      </c>
      <c r="O12" s="41">
        <f t="shared" si="2"/>
        <v>0</v>
      </c>
      <c r="P12" s="26">
        <f t="shared" si="2"/>
        <v>0</v>
      </c>
      <c r="Q12" s="26">
        <f t="shared" si="3"/>
        <v>0</v>
      </c>
      <c r="R12" s="26">
        <f t="shared" si="4"/>
        <v>0</v>
      </c>
      <c r="S12" s="26">
        <f t="shared" si="5"/>
        <v>0</v>
      </c>
      <c r="T12" s="26">
        <f t="shared" si="5"/>
        <v>0</v>
      </c>
      <c r="U12" s="42">
        <f t="shared" si="6"/>
        <v>0</v>
      </c>
    </row>
    <row r="13" spans="1:21" ht="19.95" customHeight="1" x14ac:dyDescent="0.3">
      <c r="A13" s="52"/>
      <c r="B13" s="24"/>
      <c r="C13" s="24">
        <v>64014</v>
      </c>
      <c r="D13" s="25" t="s">
        <v>46</v>
      </c>
      <c r="E13" s="43"/>
      <c r="F13" s="27"/>
      <c r="G13" s="27"/>
      <c r="H13" s="44"/>
      <c r="I13" s="49">
        <f>H13*Subsector!$S$11</f>
        <v>0</v>
      </c>
      <c r="J13" s="26">
        <f>H13*Subsector!$S$12</f>
        <v>0</v>
      </c>
      <c r="K13" s="26">
        <f>H13*Subsector!$S$13</f>
        <v>0</v>
      </c>
      <c r="L13" s="26">
        <f>H13*Subsector!$S$15</f>
        <v>0</v>
      </c>
      <c r="M13" s="26">
        <f>H13*Subsector!$S$16</f>
        <v>0</v>
      </c>
      <c r="N13" s="66">
        <f>H13*Subsector!$S$17</f>
        <v>0</v>
      </c>
      <c r="O13" s="41">
        <f t="shared" si="2"/>
        <v>0</v>
      </c>
      <c r="P13" s="26">
        <f t="shared" si="2"/>
        <v>0</v>
      </c>
      <c r="Q13" s="26">
        <f t="shared" si="3"/>
        <v>0</v>
      </c>
      <c r="R13" s="26">
        <f t="shared" si="4"/>
        <v>0</v>
      </c>
      <c r="S13" s="26">
        <f t="shared" si="5"/>
        <v>0</v>
      </c>
      <c r="T13" s="26">
        <f t="shared" si="5"/>
        <v>0</v>
      </c>
      <c r="U13" s="42">
        <f t="shared" si="6"/>
        <v>0</v>
      </c>
    </row>
    <row r="14" spans="1:21" ht="19.95" customHeight="1" x14ac:dyDescent="0.3">
      <c r="A14" s="52"/>
      <c r="B14" s="24"/>
      <c r="C14" s="24">
        <v>64015</v>
      </c>
      <c r="D14" s="25" t="s">
        <v>47</v>
      </c>
      <c r="E14" s="43"/>
      <c r="F14" s="27"/>
      <c r="G14" s="27"/>
      <c r="H14" s="44"/>
      <c r="I14" s="49">
        <f>H14*Subsector!$S$11</f>
        <v>0</v>
      </c>
      <c r="J14" s="26">
        <f>H14*Subsector!$S$12</f>
        <v>0</v>
      </c>
      <c r="K14" s="26">
        <f>H14*Subsector!$S$13</f>
        <v>0</v>
      </c>
      <c r="L14" s="26">
        <f>H14*Subsector!$S$15</f>
        <v>0</v>
      </c>
      <c r="M14" s="26">
        <f>H14*Subsector!$S$16</f>
        <v>0</v>
      </c>
      <c r="N14" s="66">
        <f>H14*Subsector!$S$17</f>
        <v>0</v>
      </c>
      <c r="O14" s="41">
        <f t="shared" si="2"/>
        <v>0</v>
      </c>
      <c r="P14" s="26">
        <f t="shared" si="2"/>
        <v>0</v>
      </c>
      <c r="Q14" s="26">
        <f t="shared" si="3"/>
        <v>0</v>
      </c>
      <c r="R14" s="26">
        <f t="shared" si="4"/>
        <v>0</v>
      </c>
      <c r="S14" s="26">
        <f t="shared" si="5"/>
        <v>0</v>
      </c>
      <c r="T14" s="26">
        <f t="shared" si="5"/>
        <v>0</v>
      </c>
      <c r="U14" s="42">
        <f t="shared" si="6"/>
        <v>0</v>
      </c>
    </row>
    <row r="15" spans="1:21" ht="19.95" customHeight="1" x14ac:dyDescent="0.3">
      <c r="A15" s="52"/>
      <c r="B15" s="24"/>
      <c r="C15" s="24">
        <v>64016</v>
      </c>
      <c r="D15" s="25" t="s">
        <v>48</v>
      </c>
      <c r="E15" s="43"/>
      <c r="F15" s="27"/>
      <c r="G15" s="27"/>
      <c r="H15" s="44"/>
      <c r="I15" s="49">
        <f>H15*Subsector!$S$11</f>
        <v>0</v>
      </c>
      <c r="J15" s="26">
        <f>H15*Subsector!$S$12</f>
        <v>0</v>
      </c>
      <c r="K15" s="26">
        <f>H15*Subsector!$S$13</f>
        <v>0</v>
      </c>
      <c r="L15" s="26">
        <f>H15*Subsector!$S$15</f>
        <v>0</v>
      </c>
      <c r="M15" s="26">
        <f>H15*Subsector!$S$16</f>
        <v>0</v>
      </c>
      <c r="N15" s="66">
        <f>H15*Subsector!$S$17</f>
        <v>0</v>
      </c>
      <c r="O15" s="41">
        <f t="shared" si="2"/>
        <v>0</v>
      </c>
      <c r="P15" s="26">
        <f t="shared" si="2"/>
        <v>0</v>
      </c>
      <c r="Q15" s="26">
        <f t="shared" si="3"/>
        <v>0</v>
      </c>
      <c r="R15" s="26">
        <f t="shared" si="4"/>
        <v>0</v>
      </c>
      <c r="S15" s="26">
        <f t="shared" si="5"/>
        <v>0</v>
      </c>
      <c r="T15" s="26">
        <f t="shared" si="5"/>
        <v>0</v>
      </c>
      <c r="U15" s="42">
        <f t="shared" si="6"/>
        <v>0</v>
      </c>
    </row>
    <row r="16" spans="1:21" ht="19.95" customHeight="1" x14ac:dyDescent="0.3">
      <c r="A16" s="52"/>
      <c r="B16" s="24"/>
      <c r="C16" s="24">
        <v>64017</v>
      </c>
      <c r="D16" s="25" t="s">
        <v>49</v>
      </c>
      <c r="E16" s="43"/>
      <c r="F16" s="27"/>
      <c r="G16" s="27"/>
      <c r="H16" s="44"/>
      <c r="I16" s="49">
        <f>H16*Subsector!$S$11</f>
        <v>0</v>
      </c>
      <c r="J16" s="26">
        <f>H16*Subsector!$S$12</f>
        <v>0</v>
      </c>
      <c r="K16" s="26">
        <f>H16*Subsector!$S$13</f>
        <v>0</v>
      </c>
      <c r="L16" s="26">
        <f>H16*Subsector!$S$15</f>
        <v>0</v>
      </c>
      <c r="M16" s="26">
        <f>H16*Subsector!$S$16</f>
        <v>0</v>
      </c>
      <c r="N16" s="66">
        <f>H16*Subsector!$S$17</f>
        <v>0</v>
      </c>
      <c r="O16" s="41">
        <f t="shared" si="2"/>
        <v>0</v>
      </c>
      <c r="P16" s="26">
        <f t="shared" si="2"/>
        <v>0</v>
      </c>
      <c r="Q16" s="26">
        <f t="shared" si="3"/>
        <v>0</v>
      </c>
      <c r="R16" s="26">
        <f t="shared" si="4"/>
        <v>0</v>
      </c>
      <c r="S16" s="26">
        <f t="shared" si="5"/>
        <v>0</v>
      </c>
      <c r="T16" s="26">
        <f t="shared" si="5"/>
        <v>0</v>
      </c>
      <c r="U16" s="42">
        <f t="shared" si="6"/>
        <v>0</v>
      </c>
    </row>
    <row r="17" spans="1:21" ht="19.95" customHeight="1" x14ac:dyDescent="0.3">
      <c r="A17" s="52"/>
      <c r="B17" s="24"/>
      <c r="C17" s="24">
        <v>64018</v>
      </c>
      <c r="D17" s="25" t="s">
        <v>50</v>
      </c>
      <c r="E17" s="43"/>
      <c r="F17" s="27"/>
      <c r="G17" s="27"/>
      <c r="H17" s="44"/>
      <c r="I17" s="49">
        <f>H17*Subsector!$S$11</f>
        <v>0</v>
      </c>
      <c r="J17" s="26">
        <f>H17*Subsector!$S$12</f>
        <v>0</v>
      </c>
      <c r="K17" s="26">
        <f>H17*Subsector!$S$13</f>
        <v>0</v>
      </c>
      <c r="L17" s="26">
        <f>H17*Subsector!$S$15</f>
        <v>0</v>
      </c>
      <c r="M17" s="26">
        <f>H17*Subsector!$S$16</f>
        <v>0</v>
      </c>
      <c r="N17" s="66">
        <f>H17*Subsector!$S$17</f>
        <v>0</v>
      </c>
      <c r="O17" s="41">
        <f t="shared" si="2"/>
        <v>0</v>
      </c>
      <c r="P17" s="26">
        <f t="shared" si="2"/>
        <v>0</v>
      </c>
      <c r="Q17" s="26">
        <f t="shared" si="3"/>
        <v>0</v>
      </c>
      <c r="R17" s="26">
        <f t="shared" si="4"/>
        <v>0</v>
      </c>
      <c r="S17" s="26">
        <f t="shared" si="5"/>
        <v>0</v>
      </c>
      <c r="T17" s="26">
        <f t="shared" si="5"/>
        <v>0</v>
      </c>
      <c r="U17" s="42">
        <f t="shared" si="6"/>
        <v>0</v>
      </c>
    </row>
    <row r="18" spans="1:21" ht="19.95" customHeight="1" x14ac:dyDescent="0.3">
      <c r="A18" s="51"/>
      <c r="B18" s="23">
        <v>6402</v>
      </c>
      <c r="C18" s="23"/>
      <c r="D18" s="21" t="s">
        <v>51</v>
      </c>
      <c r="E18" s="39">
        <f>SUM(E19:E26)</f>
        <v>0</v>
      </c>
      <c r="F18" s="22">
        <f t="shared" ref="F18:U18" si="7">SUM(F19:F26)</f>
        <v>0</v>
      </c>
      <c r="G18" s="22">
        <f t="shared" si="7"/>
        <v>0</v>
      </c>
      <c r="H18" s="40">
        <f t="shared" si="7"/>
        <v>0</v>
      </c>
      <c r="I18" s="36">
        <f t="shared" si="7"/>
        <v>0</v>
      </c>
      <c r="J18" s="22">
        <f t="shared" si="7"/>
        <v>0</v>
      </c>
      <c r="K18" s="22">
        <f t="shared" si="7"/>
        <v>0</v>
      </c>
      <c r="L18" s="22">
        <f t="shared" si="7"/>
        <v>0</v>
      </c>
      <c r="M18" s="22">
        <f t="shared" si="7"/>
        <v>0</v>
      </c>
      <c r="N18" s="65">
        <f t="shared" si="7"/>
        <v>0</v>
      </c>
      <c r="O18" s="39">
        <f t="shared" si="7"/>
        <v>0</v>
      </c>
      <c r="P18" s="22">
        <f t="shared" si="7"/>
        <v>0</v>
      </c>
      <c r="Q18" s="22">
        <f t="shared" si="7"/>
        <v>0</v>
      </c>
      <c r="R18" s="22">
        <f t="shared" si="7"/>
        <v>0</v>
      </c>
      <c r="S18" s="22">
        <f t="shared" si="7"/>
        <v>0</v>
      </c>
      <c r="T18" s="22">
        <f t="shared" si="7"/>
        <v>0</v>
      </c>
      <c r="U18" s="40">
        <f t="shared" si="7"/>
        <v>0</v>
      </c>
    </row>
    <row r="19" spans="1:21" ht="19.95" customHeight="1" x14ac:dyDescent="0.3">
      <c r="A19" s="52"/>
      <c r="B19" s="24"/>
      <c r="C19" s="24">
        <v>64021</v>
      </c>
      <c r="D19" s="25" t="s">
        <v>52</v>
      </c>
      <c r="E19" s="43"/>
      <c r="F19" s="27"/>
      <c r="G19" s="27"/>
      <c r="H19" s="44"/>
      <c r="I19" s="49">
        <f>H19*Subsector!$S$11</f>
        <v>0</v>
      </c>
      <c r="J19" s="26">
        <f>H19*Subsector!$S$12</f>
        <v>0</v>
      </c>
      <c r="K19" s="26">
        <f>H19*Subsector!$S$13</f>
        <v>0</v>
      </c>
      <c r="L19" s="26">
        <f>H19*Subsector!$S$15</f>
        <v>0</v>
      </c>
      <c r="M19" s="26">
        <f>H19*Subsector!$S$16</f>
        <v>0</v>
      </c>
      <c r="N19" s="66">
        <f>H19*Subsector!$S$17</f>
        <v>0</v>
      </c>
      <c r="O19" s="41">
        <f t="shared" ref="O19:P26" si="8">ROUNDUP(SUM(E19,I19),1)</f>
        <v>0</v>
      </c>
      <c r="P19" s="26">
        <f t="shared" si="8"/>
        <v>0</v>
      </c>
      <c r="Q19" s="26">
        <f t="shared" ref="Q19:Q26" si="9">ROUNDUP(SUM(K19),1)</f>
        <v>0</v>
      </c>
      <c r="R19" s="26">
        <f t="shared" ref="R19:R26" si="10">ROUNDUP(SUM(G19,L19),1)</f>
        <v>0</v>
      </c>
      <c r="S19" s="26">
        <f t="shared" ref="S19:T26" si="11">ROUNDUP(SUM(M19),1)</f>
        <v>0</v>
      </c>
      <c r="T19" s="26">
        <f t="shared" si="11"/>
        <v>0</v>
      </c>
      <c r="U19" s="42">
        <f t="shared" ref="U19:U26" si="12">SUM(O19:T19)</f>
        <v>0</v>
      </c>
    </row>
    <row r="20" spans="1:21" ht="19.95" customHeight="1" x14ac:dyDescent="0.3">
      <c r="A20" s="52"/>
      <c r="B20" s="24"/>
      <c r="C20" s="24">
        <v>64022</v>
      </c>
      <c r="D20" s="25" t="s">
        <v>53</v>
      </c>
      <c r="E20" s="43"/>
      <c r="F20" s="27"/>
      <c r="G20" s="27"/>
      <c r="H20" s="44"/>
      <c r="I20" s="49">
        <f>H20*Subsector!$S$11</f>
        <v>0</v>
      </c>
      <c r="J20" s="26">
        <f>H20*Subsector!$S$12</f>
        <v>0</v>
      </c>
      <c r="K20" s="26">
        <f>H20*Subsector!$S$13</f>
        <v>0</v>
      </c>
      <c r="L20" s="26">
        <f>H20*Subsector!$S$15</f>
        <v>0</v>
      </c>
      <c r="M20" s="26">
        <f>H20*Subsector!$S$16</f>
        <v>0</v>
      </c>
      <c r="N20" s="66">
        <f>H20*Subsector!$S$17</f>
        <v>0</v>
      </c>
      <c r="O20" s="41">
        <f t="shared" si="8"/>
        <v>0</v>
      </c>
      <c r="P20" s="26">
        <f t="shared" si="8"/>
        <v>0</v>
      </c>
      <c r="Q20" s="26">
        <f t="shared" si="9"/>
        <v>0</v>
      </c>
      <c r="R20" s="26">
        <f t="shared" si="10"/>
        <v>0</v>
      </c>
      <c r="S20" s="26">
        <f t="shared" si="11"/>
        <v>0</v>
      </c>
      <c r="T20" s="26">
        <f t="shared" si="11"/>
        <v>0</v>
      </c>
      <c r="U20" s="42">
        <f t="shared" si="12"/>
        <v>0</v>
      </c>
    </row>
    <row r="21" spans="1:21" ht="19.95" customHeight="1" x14ac:dyDescent="0.3">
      <c r="A21" s="52"/>
      <c r="B21" s="24"/>
      <c r="C21" s="24">
        <v>64023</v>
      </c>
      <c r="D21" s="25" t="s">
        <v>54</v>
      </c>
      <c r="E21" s="43"/>
      <c r="F21" s="27"/>
      <c r="G21" s="27"/>
      <c r="H21" s="44"/>
      <c r="I21" s="49">
        <f>H21*Subsector!$S$11</f>
        <v>0</v>
      </c>
      <c r="J21" s="26">
        <f>H21*Subsector!$S$12</f>
        <v>0</v>
      </c>
      <c r="K21" s="26">
        <f>H21*Subsector!$S$13</f>
        <v>0</v>
      </c>
      <c r="L21" s="26">
        <f>H21*Subsector!$S$15</f>
        <v>0</v>
      </c>
      <c r="M21" s="26">
        <f>H21*Subsector!$S$16</f>
        <v>0</v>
      </c>
      <c r="N21" s="66">
        <f>H21*Subsector!$S$17</f>
        <v>0</v>
      </c>
      <c r="O21" s="41">
        <f t="shared" si="8"/>
        <v>0</v>
      </c>
      <c r="P21" s="26">
        <f t="shared" si="8"/>
        <v>0</v>
      </c>
      <c r="Q21" s="26">
        <f t="shared" si="9"/>
        <v>0</v>
      </c>
      <c r="R21" s="26">
        <f t="shared" si="10"/>
        <v>0</v>
      </c>
      <c r="S21" s="26">
        <f t="shared" si="11"/>
        <v>0</v>
      </c>
      <c r="T21" s="26">
        <f t="shared" si="11"/>
        <v>0</v>
      </c>
      <c r="U21" s="42">
        <f t="shared" si="12"/>
        <v>0</v>
      </c>
    </row>
    <row r="22" spans="1:21" ht="19.95" customHeight="1" x14ac:dyDescent="0.3">
      <c r="A22" s="52"/>
      <c r="B22" s="24"/>
      <c r="C22" s="24">
        <v>64024</v>
      </c>
      <c r="D22" s="25" t="s">
        <v>55</v>
      </c>
      <c r="E22" s="43"/>
      <c r="F22" s="27"/>
      <c r="G22" s="27"/>
      <c r="H22" s="44"/>
      <c r="I22" s="49">
        <f>H22*Subsector!$S$11</f>
        <v>0</v>
      </c>
      <c r="J22" s="26">
        <f>H22*Subsector!$S$12</f>
        <v>0</v>
      </c>
      <c r="K22" s="26">
        <f>H22*Subsector!$S$13</f>
        <v>0</v>
      </c>
      <c r="L22" s="26">
        <f>H22*Subsector!$S$15</f>
        <v>0</v>
      </c>
      <c r="M22" s="26">
        <f>H22*Subsector!$S$16</f>
        <v>0</v>
      </c>
      <c r="N22" s="66">
        <f>H22*Subsector!$S$17</f>
        <v>0</v>
      </c>
      <c r="O22" s="41">
        <f t="shared" si="8"/>
        <v>0</v>
      </c>
      <c r="P22" s="26">
        <f t="shared" si="8"/>
        <v>0</v>
      </c>
      <c r="Q22" s="26">
        <f t="shared" si="9"/>
        <v>0</v>
      </c>
      <c r="R22" s="26">
        <f t="shared" si="10"/>
        <v>0</v>
      </c>
      <c r="S22" s="26">
        <f t="shared" si="11"/>
        <v>0</v>
      </c>
      <c r="T22" s="26">
        <f t="shared" si="11"/>
        <v>0</v>
      </c>
      <c r="U22" s="42">
        <f t="shared" si="12"/>
        <v>0</v>
      </c>
    </row>
    <row r="23" spans="1:21" ht="19.95" customHeight="1" x14ac:dyDescent="0.3">
      <c r="A23" s="52"/>
      <c r="B23" s="24"/>
      <c r="C23" s="24">
        <v>64025</v>
      </c>
      <c r="D23" s="25" t="s">
        <v>56</v>
      </c>
      <c r="E23" s="43"/>
      <c r="F23" s="27"/>
      <c r="G23" s="27"/>
      <c r="H23" s="44"/>
      <c r="I23" s="49">
        <f>H23*Subsector!$S$11</f>
        <v>0</v>
      </c>
      <c r="J23" s="26">
        <f>H23*Subsector!$S$12</f>
        <v>0</v>
      </c>
      <c r="K23" s="26">
        <f>H23*Subsector!$S$13</f>
        <v>0</v>
      </c>
      <c r="L23" s="26">
        <f>H23*Subsector!$S$15</f>
        <v>0</v>
      </c>
      <c r="M23" s="26">
        <f>H23*Subsector!$S$16</f>
        <v>0</v>
      </c>
      <c r="N23" s="66">
        <f>H23*Subsector!$S$17</f>
        <v>0</v>
      </c>
      <c r="O23" s="41">
        <f t="shared" si="8"/>
        <v>0</v>
      </c>
      <c r="P23" s="26">
        <f t="shared" si="8"/>
        <v>0</v>
      </c>
      <c r="Q23" s="26">
        <f t="shared" si="9"/>
        <v>0</v>
      </c>
      <c r="R23" s="26">
        <f t="shared" si="10"/>
        <v>0</v>
      </c>
      <c r="S23" s="26">
        <f t="shared" si="11"/>
        <v>0</v>
      </c>
      <c r="T23" s="26">
        <f t="shared" si="11"/>
        <v>0</v>
      </c>
      <c r="U23" s="42">
        <f t="shared" si="12"/>
        <v>0</v>
      </c>
    </row>
    <row r="24" spans="1:21" ht="19.95" customHeight="1" x14ac:dyDescent="0.3">
      <c r="A24" s="52"/>
      <c r="B24" s="24"/>
      <c r="C24" s="24">
        <v>64026</v>
      </c>
      <c r="D24" s="25" t="s">
        <v>57</v>
      </c>
      <c r="E24" s="43"/>
      <c r="F24" s="27"/>
      <c r="G24" s="27"/>
      <c r="H24" s="44"/>
      <c r="I24" s="49">
        <f>H24*Subsector!$S$11</f>
        <v>0</v>
      </c>
      <c r="J24" s="26">
        <f>H24*Subsector!$S$12</f>
        <v>0</v>
      </c>
      <c r="K24" s="26">
        <f>H24*Subsector!$S$13</f>
        <v>0</v>
      </c>
      <c r="L24" s="26">
        <f>H24*Subsector!$S$15</f>
        <v>0</v>
      </c>
      <c r="M24" s="26">
        <f>H24*Subsector!$S$16</f>
        <v>0</v>
      </c>
      <c r="N24" s="66">
        <f>H24*Subsector!$S$17</f>
        <v>0</v>
      </c>
      <c r="O24" s="41">
        <f t="shared" si="8"/>
        <v>0</v>
      </c>
      <c r="P24" s="26">
        <f t="shared" si="8"/>
        <v>0</v>
      </c>
      <c r="Q24" s="26">
        <f t="shared" si="9"/>
        <v>0</v>
      </c>
      <c r="R24" s="26">
        <f t="shared" si="10"/>
        <v>0</v>
      </c>
      <c r="S24" s="26">
        <f t="shared" si="11"/>
        <v>0</v>
      </c>
      <c r="T24" s="26">
        <f t="shared" si="11"/>
        <v>0</v>
      </c>
      <c r="U24" s="42">
        <f t="shared" si="12"/>
        <v>0</v>
      </c>
    </row>
    <row r="25" spans="1:21" ht="19.95" customHeight="1" x14ac:dyDescent="0.3">
      <c r="A25" s="52"/>
      <c r="B25" s="24"/>
      <c r="C25" s="24">
        <v>64027</v>
      </c>
      <c r="D25" s="25" t="s">
        <v>58</v>
      </c>
      <c r="E25" s="43"/>
      <c r="F25" s="27"/>
      <c r="G25" s="27"/>
      <c r="H25" s="44"/>
      <c r="I25" s="49">
        <f>H25*Subsector!$S$11</f>
        <v>0</v>
      </c>
      <c r="J25" s="26">
        <f>H25*Subsector!$S$12</f>
        <v>0</v>
      </c>
      <c r="K25" s="26">
        <f>H25*Subsector!$S$13</f>
        <v>0</v>
      </c>
      <c r="L25" s="26">
        <f>H25*Subsector!$S$15</f>
        <v>0</v>
      </c>
      <c r="M25" s="26">
        <f>H25*Subsector!$S$16</f>
        <v>0</v>
      </c>
      <c r="N25" s="66">
        <f>H25*Subsector!$S$17</f>
        <v>0</v>
      </c>
      <c r="O25" s="41">
        <f t="shared" si="8"/>
        <v>0</v>
      </c>
      <c r="P25" s="26">
        <f t="shared" si="8"/>
        <v>0</v>
      </c>
      <c r="Q25" s="26">
        <f t="shared" si="9"/>
        <v>0</v>
      </c>
      <c r="R25" s="26">
        <f t="shared" si="10"/>
        <v>0</v>
      </c>
      <c r="S25" s="26">
        <f t="shared" si="11"/>
        <v>0</v>
      </c>
      <c r="T25" s="26">
        <f t="shared" si="11"/>
        <v>0</v>
      </c>
      <c r="U25" s="42">
        <f t="shared" si="12"/>
        <v>0</v>
      </c>
    </row>
    <row r="26" spans="1:21" ht="19.95" customHeight="1" x14ac:dyDescent="0.3">
      <c r="A26" s="52"/>
      <c r="B26" s="24"/>
      <c r="C26" s="24">
        <v>64028</v>
      </c>
      <c r="D26" s="25" t="s">
        <v>59</v>
      </c>
      <c r="E26" s="43"/>
      <c r="F26" s="27"/>
      <c r="G26" s="27"/>
      <c r="H26" s="44"/>
      <c r="I26" s="49">
        <f>H26*Subsector!$S$11</f>
        <v>0</v>
      </c>
      <c r="J26" s="26">
        <f>H26*Subsector!$S$12</f>
        <v>0</v>
      </c>
      <c r="K26" s="26">
        <f>H26*Subsector!$S$13</f>
        <v>0</v>
      </c>
      <c r="L26" s="26">
        <f>H26*Subsector!$S$15</f>
        <v>0</v>
      </c>
      <c r="M26" s="26">
        <f>H26*Subsector!$S$16</f>
        <v>0</v>
      </c>
      <c r="N26" s="66">
        <f>H26*Subsector!$S$17</f>
        <v>0</v>
      </c>
      <c r="O26" s="41">
        <f t="shared" si="8"/>
        <v>0</v>
      </c>
      <c r="P26" s="26">
        <f t="shared" si="8"/>
        <v>0</v>
      </c>
      <c r="Q26" s="26">
        <f t="shared" si="9"/>
        <v>0</v>
      </c>
      <c r="R26" s="26">
        <f t="shared" si="10"/>
        <v>0</v>
      </c>
      <c r="S26" s="26">
        <f t="shared" si="11"/>
        <v>0</v>
      </c>
      <c r="T26" s="26">
        <f t="shared" si="11"/>
        <v>0</v>
      </c>
      <c r="U26" s="42">
        <f t="shared" si="12"/>
        <v>0</v>
      </c>
    </row>
    <row r="27" spans="1:21" ht="19.95" customHeight="1" x14ac:dyDescent="0.3">
      <c r="A27" s="51"/>
      <c r="B27" s="23">
        <v>6403</v>
      </c>
      <c r="C27" s="23"/>
      <c r="D27" s="21" t="s">
        <v>60</v>
      </c>
      <c r="E27" s="39">
        <f>SUM(E28:E32)</f>
        <v>0</v>
      </c>
      <c r="F27" s="22">
        <f t="shared" ref="F27:U27" si="13">SUM(F28:F32)</f>
        <v>0</v>
      </c>
      <c r="G27" s="22">
        <f t="shared" si="13"/>
        <v>0</v>
      </c>
      <c r="H27" s="40">
        <f t="shared" si="13"/>
        <v>0</v>
      </c>
      <c r="I27" s="36">
        <f t="shared" si="13"/>
        <v>0</v>
      </c>
      <c r="J27" s="22">
        <f t="shared" si="13"/>
        <v>0</v>
      </c>
      <c r="K27" s="22">
        <f t="shared" si="13"/>
        <v>0</v>
      </c>
      <c r="L27" s="22">
        <f t="shared" si="13"/>
        <v>0</v>
      </c>
      <c r="M27" s="22">
        <f t="shared" si="13"/>
        <v>0</v>
      </c>
      <c r="N27" s="65">
        <f t="shared" si="13"/>
        <v>0</v>
      </c>
      <c r="O27" s="39">
        <f t="shared" si="13"/>
        <v>0</v>
      </c>
      <c r="P27" s="22">
        <f t="shared" si="13"/>
        <v>0</v>
      </c>
      <c r="Q27" s="22">
        <f t="shared" si="13"/>
        <v>0</v>
      </c>
      <c r="R27" s="22">
        <f t="shared" si="13"/>
        <v>0</v>
      </c>
      <c r="S27" s="22">
        <f t="shared" si="13"/>
        <v>0</v>
      </c>
      <c r="T27" s="22">
        <f t="shared" si="13"/>
        <v>0</v>
      </c>
      <c r="U27" s="40">
        <f t="shared" si="13"/>
        <v>0</v>
      </c>
    </row>
    <row r="28" spans="1:21" ht="19.95" customHeight="1" x14ac:dyDescent="0.3">
      <c r="A28" s="52"/>
      <c r="B28" s="24"/>
      <c r="C28" s="24">
        <v>64033</v>
      </c>
      <c r="D28" s="25" t="s">
        <v>61</v>
      </c>
      <c r="E28" s="43"/>
      <c r="F28" s="27"/>
      <c r="G28" s="27"/>
      <c r="H28" s="44"/>
      <c r="I28" s="49">
        <f>H28*Subsector!$S$11</f>
        <v>0</v>
      </c>
      <c r="J28" s="26">
        <f>H28*Subsector!$S$12</f>
        <v>0</v>
      </c>
      <c r="K28" s="26">
        <f>H28*Subsector!$S$13</f>
        <v>0</v>
      </c>
      <c r="L28" s="26">
        <f>H28*Subsector!$S$15</f>
        <v>0</v>
      </c>
      <c r="M28" s="26">
        <f>H28*Subsector!$S$16</f>
        <v>0</v>
      </c>
      <c r="N28" s="66">
        <f>H28*Subsector!$S$17</f>
        <v>0</v>
      </c>
      <c r="O28" s="41">
        <f t="shared" ref="O28:P32" si="14">ROUNDUP(SUM(E28,I28),1)</f>
        <v>0</v>
      </c>
      <c r="P28" s="26">
        <f t="shared" si="14"/>
        <v>0</v>
      </c>
      <c r="Q28" s="26">
        <f>ROUNDUP(SUM(K28),1)</f>
        <v>0</v>
      </c>
      <c r="R28" s="26">
        <f>ROUNDUP(SUM(G28,L28),1)</f>
        <v>0</v>
      </c>
      <c r="S28" s="26">
        <f t="shared" ref="S28:T32" si="15">ROUNDUP(SUM(M28),1)</f>
        <v>0</v>
      </c>
      <c r="T28" s="26">
        <f t="shared" si="15"/>
        <v>0</v>
      </c>
      <c r="U28" s="42">
        <f>SUM(O28:T28)</f>
        <v>0</v>
      </c>
    </row>
    <row r="29" spans="1:21" ht="19.95" customHeight="1" x14ac:dyDescent="0.3">
      <c r="A29" s="52"/>
      <c r="B29" s="24"/>
      <c r="C29" s="24">
        <v>64034</v>
      </c>
      <c r="D29" s="25" t="s">
        <v>62</v>
      </c>
      <c r="E29" s="43"/>
      <c r="F29" s="27"/>
      <c r="G29" s="27"/>
      <c r="H29" s="44"/>
      <c r="I29" s="49">
        <f>H29*Subsector!$S$11</f>
        <v>0</v>
      </c>
      <c r="J29" s="26">
        <f>H29*Subsector!$S$12</f>
        <v>0</v>
      </c>
      <c r="K29" s="26">
        <f>H29*Subsector!$S$13</f>
        <v>0</v>
      </c>
      <c r="L29" s="26">
        <f>H29*Subsector!$S$15</f>
        <v>0</v>
      </c>
      <c r="M29" s="26">
        <f>H29*Subsector!$S$16</f>
        <v>0</v>
      </c>
      <c r="N29" s="66">
        <f>H29*Subsector!$S$17</f>
        <v>0</v>
      </c>
      <c r="O29" s="41">
        <f t="shared" si="14"/>
        <v>0</v>
      </c>
      <c r="P29" s="26">
        <f t="shared" si="14"/>
        <v>0</v>
      </c>
      <c r="Q29" s="26">
        <f>ROUNDUP(SUM(K29),1)</f>
        <v>0</v>
      </c>
      <c r="R29" s="26">
        <f>ROUNDUP(SUM(G29,L29),1)</f>
        <v>0</v>
      </c>
      <c r="S29" s="26">
        <f t="shared" si="15"/>
        <v>0</v>
      </c>
      <c r="T29" s="26">
        <f t="shared" si="15"/>
        <v>0</v>
      </c>
      <c r="U29" s="42">
        <f>SUM(O29:T29)</f>
        <v>0</v>
      </c>
    </row>
    <row r="30" spans="1:21" ht="19.95" customHeight="1" x14ac:dyDescent="0.3">
      <c r="A30" s="52"/>
      <c r="B30" s="24"/>
      <c r="C30" s="24">
        <v>64035</v>
      </c>
      <c r="D30" s="25" t="s">
        <v>63</v>
      </c>
      <c r="E30" s="43"/>
      <c r="F30" s="27"/>
      <c r="G30" s="27"/>
      <c r="H30" s="44"/>
      <c r="I30" s="49">
        <f>H30*Subsector!$S$11</f>
        <v>0</v>
      </c>
      <c r="J30" s="26">
        <f>H30*Subsector!$S$12</f>
        <v>0</v>
      </c>
      <c r="K30" s="26">
        <f>H30*Subsector!$S$13</f>
        <v>0</v>
      </c>
      <c r="L30" s="26">
        <f>H30*Subsector!$S$15</f>
        <v>0</v>
      </c>
      <c r="M30" s="26">
        <f>H30*Subsector!$S$16</f>
        <v>0</v>
      </c>
      <c r="N30" s="66">
        <f>H30*Subsector!$S$17</f>
        <v>0</v>
      </c>
      <c r="O30" s="41">
        <f t="shared" si="14"/>
        <v>0</v>
      </c>
      <c r="P30" s="26">
        <f t="shared" si="14"/>
        <v>0</v>
      </c>
      <c r="Q30" s="26">
        <f>ROUNDUP(SUM(K30),1)</f>
        <v>0</v>
      </c>
      <c r="R30" s="26">
        <f>ROUNDUP(SUM(G30,L30),1)</f>
        <v>0</v>
      </c>
      <c r="S30" s="26">
        <f t="shared" si="15"/>
        <v>0</v>
      </c>
      <c r="T30" s="26">
        <f t="shared" si="15"/>
        <v>0</v>
      </c>
      <c r="U30" s="42">
        <f>SUM(O30:T30)</f>
        <v>0</v>
      </c>
    </row>
    <row r="31" spans="1:21" ht="19.95" customHeight="1" x14ac:dyDescent="0.3">
      <c r="A31" s="52"/>
      <c r="B31" s="24"/>
      <c r="C31" s="24">
        <v>64037</v>
      </c>
      <c r="D31" s="25" t="s">
        <v>64</v>
      </c>
      <c r="E31" s="43"/>
      <c r="F31" s="27"/>
      <c r="G31" s="27"/>
      <c r="H31" s="44"/>
      <c r="I31" s="49">
        <f>H31*Subsector!$S$11</f>
        <v>0</v>
      </c>
      <c r="J31" s="26">
        <f>H31*Subsector!$S$12</f>
        <v>0</v>
      </c>
      <c r="K31" s="26">
        <f>H31*Subsector!$S$13</f>
        <v>0</v>
      </c>
      <c r="L31" s="26">
        <f>H31*Subsector!$S$15</f>
        <v>0</v>
      </c>
      <c r="M31" s="26">
        <f>H31*Subsector!$S$16</f>
        <v>0</v>
      </c>
      <c r="N31" s="66">
        <f>H31*Subsector!$S$17</f>
        <v>0</v>
      </c>
      <c r="O31" s="41">
        <f t="shared" si="14"/>
        <v>0</v>
      </c>
      <c r="P31" s="26">
        <f t="shared" si="14"/>
        <v>0</v>
      </c>
      <c r="Q31" s="26">
        <f>ROUNDUP(SUM(K31),1)</f>
        <v>0</v>
      </c>
      <c r="R31" s="26">
        <f>ROUNDUP(SUM(G31,L31),1)</f>
        <v>0</v>
      </c>
      <c r="S31" s="26">
        <f t="shared" si="15"/>
        <v>0</v>
      </c>
      <c r="T31" s="26">
        <f t="shared" si="15"/>
        <v>0</v>
      </c>
      <c r="U31" s="42">
        <f>SUM(O31:T31)</f>
        <v>0</v>
      </c>
    </row>
    <row r="32" spans="1:21" ht="19.95" customHeight="1" x14ac:dyDescent="0.3">
      <c r="A32" s="52"/>
      <c r="B32" s="24"/>
      <c r="C32" s="24">
        <v>64038</v>
      </c>
      <c r="D32" s="25" t="s">
        <v>60</v>
      </c>
      <c r="E32" s="43"/>
      <c r="F32" s="27"/>
      <c r="G32" s="27"/>
      <c r="H32" s="44"/>
      <c r="I32" s="49">
        <f>H32*Subsector!$S$11</f>
        <v>0</v>
      </c>
      <c r="J32" s="26">
        <f>H32*Subsector!$S$12</f>
        <v>0</v>
      </c>
      <c r="K32" s="26">
        <f>H32*Subsector!$S$13</f>
        <v>0</v>
      </c>
      <c r="L32" s="26">
        <f>H32*Subsector!$S$15</f>
        <v>0</v>
      </c>
      <c r="M32" s="26">
        <f>H32*Subsector!$S$16</f>
        <v>0</v>
      </c>
      <c r="N32" s="66">
        <f>H32*Subsector!$S$17</f>
        <v>0</v>
      </c>
      <c r="O32" s="41">
        <f t="shared" si="14"/>
        <v>0</v>
      </c>
      <c r="P32" s="26">
        <f t="shared" si="14"/>
        <v>0</v>
      </c>
      <c r="Q32" s="26">
        <f>ROUNDUP(SUM(K32),1)</f>
        <v>0</v>
      </c>
      <c r="R32" s="26">
        <f>ROUNDUP(SUM(G32,L32),1)</f>
        <v>0</v>
      </c>
      <c r="S32" s="26">
        <f t="shared" si="15"/>
        <v>0</v>
      </c>
      <c r="T32" s="26">
        <f t="shared" si="15"/>
        <v>0</v>
      </c>
      <c r="U32" s="42">
        <f>SUM(O32:T32)</f>
        <v>0</v>
      </c>
    </row>
    <row r="33" spans="1:21" ht="19.95" customHeight="1" x14ac:dyDescent="0.3">
      <c r="A33" s="51"/>
      <c r="B33" s="23">
        <v>6404</v>
      </c>
      <c r="C33" s="23"/>
      <c r="D33" s="21" t="s">
        <v>65</v>
      </c>
      <c r="E33" s="39">
        <f>SUM(E34:E36)</f>
        <v>0</v>
      </c>
      <c r="F33" s="22">
        <f t="shared" ref="F33:U33" si="16">SUM(F34:F36)</f>
        <v>0</v>
      </c>
      <c r="G33" s="22">
        <f t="shared" si="16"/>
        <v>0</v>
      </c>
      <c r="H33" s="40">
        <f t="shared" si="16"/>
        <v>0</v>
      </c>
      <c r="I33" s="36">
        <f t="shared" si="16"/>
        <v>0</v>
      </c>
      <c r="J33" s="22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65">
        <f t="shared" si="16"/>
        <v>0</v>
      </c>
      <c r="O33" s="39">
        <f t="shared" si="16"/>
        <v>0</v>
      </c>
      <c r="P33" s="22">
        <f t="shared" si="16"/>
        <v>0</v>
      </c>
      <c r="Q33" s="22">
        <f t="shared" si="16"/>
        <v>0</v>
      </c>
      <c r="R33" s="22">
        <f t="shared" si="16"/>
        <v>0</v>
      </c>
      <c r="S33" s="22">
        <f t="shared" si="16"/>
        <v>0</v>
      </c>
      <c r="T33" s="22">
        <f t="shared" si="16"/>
        <v>0</v>
      </c>
      <c r="U33" s="40">
        <f t="shared" si="16"/>
        <v>0</v>
      </c>
    </row>
    <row r="34" spans="1:21" ht="19.95" customHeight="1" x14ac:dyDescent="0.3">
      <c r="A34" s="52"/>
      <c r="B34" s="24"/>
      <c r="C34" s="24">
        <v>64041</v>
      </c>
      <c r="D34" s="25" t="s">
        <v>66</v>
      </c>
      <c r="E34" s="43"/>
      <c r="F34" s="27"/>
      <c r="G34" s="27"/>
      <c r="H34" s="44"/>
      <c r="I34" s="49">
        <f>H34*Subsector!$S$11</f>
        <v>0</v>
      </c>
      <c r="J34" s="26">
        <f>H34*Subsector!$S$12</f>
        <v>0</v>
      </c>
      <c r="K34" s="26">
        <f>H34*Subsector!$S$13</f>
        <v>0</v>
      </c>
      <c r="L34" s="26">
        <f>H34*Subsector!$S$15</f>
        <v>0</v>
      </c>
      <c r="M34" s="26">
        <f>H34*Subsector!$S$16</f>
        <v>0</v>
      </c>
      <c r="N34" s="66">
        <f>H34*Subsector!$S$17</f>
        <v>0</v>
      </c>
      <c r="O34" s="41">
        <f t="shared" ref="O34:P36" si="17">ROUNDUP(SUM(E34,I34),1)</f>
        <v>0</v>
      </c>
      <c r="P34" s="26">
        <f t="shared" si="17"/>
        <v>0</v>
      </c>
      <c r="Q34" s="26">
        <f>ROUNDUP(SUM(K34),1)</f>
        <v>0</v>
      </c>
      <c r="R34" s="26">
        <f>ROUNDUP(SUM(G34,L34),1)</f>
        <v>0</v>
      </c>
      <c r="S34" s="26">
        <f t="shared" ref="S34:T36" si="18">ROUNDUP(SUM(M34),1)</f>
        <v>0</v>
      </c>
      <c r="T34" s="26">
        <f t="shared" si="18"/>
        <v>0</v>
      </c>
      <c r="U34" s="42">
        <f>SUM(O34:T34)</f>
        <v>0</v>
      </c>
    </row>
    <row r="35" spans="1:21" ht="19.95" customHeight="1" x14ac:dyDescent="0.3">
      <c r="A35" s="52"/>
      <c r="B35" s="24"/>
      <c r="C35" s="24">
        <v>64042</v>
      </c>
      <c r="D35" s="25" t="s">
        <v>67</v>
      </c>
      <c r="E35" s="43"/>
      <c r="F35" s="27"/>
      <c r="G35" s="27"/>
      <c r="H35" s="44"/>
      <c r="I35" s="49">
        <f>H35*Subsector!$S$11</f>
        <v>0</v>
      </c>
      <c r="J35" s="26">
        <f>H35*Subsector!$S$12</f>
        <v>0</v>
      </c>
      <c r="K35" s="26">
        <f>H35*Subsector!$S$13</f>
        <v>0</v>
      </c>
      <c r="L35" s="26">
        <f>H35*Subsector!$S$15</f>
        <v>0</v>
      </c>
      <c r="M35" s="26">
        <f>H35*Subsector!$S$16</f>
        <v>0</v>
      </c>
      <c r="N35" s="66">
        <f>H35*Subsector!$S$17</f>
        <v>0</v>
      </c>
      <c r="O35" s="41">
        <f t="shared" si="17"/>
        <v>0</v>
      </c>
      <c r="P35" s="26">
        <f t="shared" si="17"/>
        <v>0</v>
      </c>
      <c r="Q35" s="26">
        <f>ROUNDUP(SUM(K35),1)</f>
        <v>0</v>
      </c>
      <c r="R35" s="26">
        <f>ROUNDUP(SUM(G35,L35),1)</f>
        <v>0</v>
      </c>
      <c r="S35" s="26">
        <f t="shared" si="18"/>
        <v>0</v>
      </c>
      <c r="T35" s="26">
        <f t="shared" si="18"/>
        <v>0</v>
      </c>
      <c r="U35" s="42">
        <f>SUM(O35:T35)</f>
        <v>0</v>
      </c>
    </row>
    <row r="36" spans="1:21" ht="19.95" customHeight="1" x14ac:dyDescent="0.3">
      <c r="A36" s="53"/>
      <c r="B36" s="23"/>
      <c r="C36" s="24">
        <v>64048</v>
      </c>
      <c r="D36" s="25" t="s">
        <v>68</v>
      </c>
      <c r="E36" s="43"/>
      <c r="F36" s="27"/>
      <c r="G36" s="27"/>
      <c r="H36" s="44"/>
      <c r="I36" s="49">
        <f>H36*Subsector!$S$11</f>
        <v>0</v>
      </c>
      <c r="J36" s="26">
        <f>H36*Subsector!$S$12</f>
        <v>0</v>
      </c>
      <c r="K36" s="26">
        <f>H36*Subsector!$S$13</f>
        <v>0</v>
      </c>
      <c r="L36" s="26">
        <f>H36*Subsector!$S$15</f>
        <v>0</v>
      </c>
      <c r="M36" s="26">
        <f>H36*Subsector!$S$16</f>
        <v>0</v>
      </c>
      <c r="N36" s="66">
        <f>H36*Subsector!$S$17</f>
        <v>0</v>
      </c>
      <c r="O36" s="41">
        <f t="shared" si="17"/>
        <v>0</v>
      </c>
      <c r="P36" s="26">
        <f t="shared" si="17"/>
        <v>0</v>
      </c>
      <c r="Q36" s="26">
        <f>ROUNDUP(SUM(K36),1)</f>
        <v>0</v>
      </c>
      <c r="R36" s="26">
        <f>ROUNDUP(SUM(G36,L36),1)</f>
        <v>0</v>
      </c>
      <c r="S36" s="26">
        <f t="shared" si="18"/>
        <v>0</v>
      </c>
      <c r="T36" s="26">
        <f t="shared" si="18"/>
        <v>0</v>
      </c>
      <c r="U36" s="42">
        <f>SUM(O36:T36)</f>
        <v>0</v>
      </c>
    </row>
    <row r="37" spans="1:21" ht="19.95" customHeight="1" x14ac:dyDescent="0.3">
      <c r="A37" s="54"/>
      <c r="B37" s="23">
        <v>6405</v>
      </c>
      <c r="C37" s="23"/>
      <c r="D37" s="21" t="s">
        <v>69</v>
      </c>
      <c r="E37" s="39">
        <f>SUM(E38:E44)</f>
        <v>0</v>
      </c>
      <c r="F37" s="22">
        <f t="shared" ref="F37:U37" si="19">SUM(F38:F44)</f>
        <v>0</v>
      </c>
      <c r="G37" s="22">
        <f t="shared" si="19"/>
        <v>0</v>
      </c>
      <c r="H37" s="40">
        <f t="shared" si="19"/>
        <v>0</v>
      </c>
      <c r="I37" s="36">
        <f t="shared" si="19"/>
        <v>0</v>
      </c>
      <c r="J37" s="22">
        <f t="shared" si="19"/>
        <v>0</v>
      </c>
      <c r="K37" s="22">
        <f t="shared" si="19"/>
        <v>0</v>
      </c>
      <c r="L37" s="22">
        <f t="shared" si="19"/>
        <v>0</v>
      </c>
      <c r="M37" s="22">
        <f t="shared" si="19"/>
        <v>0</v>
      </c>
      <c r="N37" s="65">
        <f t="shared" si="19"/>
        <v>0</v>
      </c>
      <c r="O37" s="39">
        <f t="shared" si="19"/>
        <v>0</v>
      </c>
      <c r="P37" s="22">
        <f t="shared" si="19"/>
        <v>0</v>
      </c>
      <c r="Q37" s="22">
        <f t="shared" si="19"/>
        <v>0</v>
      </c>
      <c r="R37" s="22">
        <f t="shared" si="19"/>
        <v>0</v>
      </c>
      <c r="S37" s="22">
        <f t="shared" si="19"/>
        <v>0</v>
      </c>
      <c r="T37" s="22">
        <f t="shared" si="19"/>
        <v>0</v>
      </c>
      <c r="U37" s="40">
        <f t="shared" si="19"/>
        <v>0</v>
      </c>
    </row>
    <row r="38" spans="1:21" ht="19.95" customHeight="1" x14ac:dyDescent="0.3">
      <c r="A38" s="55"/>
      <c r="B38" s="23"/>
      <c r="C38" s="24">
        <v>64051</v>
      </c>
      <c r="D38" s="25" t="s">
        <v>70</v>
      </c>
      <c r="E38" s="43"/>
      <c r="F38" s="27"/>
      <c r="G38" s="27"/>
      <c r="H38" s="44"/>
      <c r="I38" s="49">
        <f>H38*Subsector!$S$11</f>
        <v>0</v>
      </c>
      <c r="J38" s="26">
        <f>H38*Subsector!$S$12</f>
        <v>0</v>
      </c>
      <c r="K38" s="26">
        <f>H38*Subsector!$S$13</f>
        <v>0</v>
      </c>
      <c r="L38" s="26">
        <f>H38*Subsector!$S$15</f>
        <v>0</v>
      </c>
      <c r="M38" s="26">
        <f>H38*Subsector!$S$16</f>
        <v>0</v>
      </c>
      <c r="N38" s="66">
        <f>H38*Subsector!$S$17</f>
        <v>0</v>
      </c>
      <c r="O38" s="41">
        <f t="shared" ref="O38:P44" si="20">ROUNDUP(SUM(E38,I38),1)</f>
        <v>0</v>
      </c>
      <c r="P38" s="26">
        <f t="shared" si="20"/>
        <v>0</v>
      </c>
      <c r="Q38" s="26">
        <f t="shared" ref="Q38:Q44" si="21">ROUNDUP(SUM(K38),1)</f>
        <v>0</v>
      </c>
      <c r="R38" s="26">
        <f t="shared" ref="R38:R44" si="22">ROUNDUP(SUM(G38,L38),1)</f>
        <v>0</v>
      </c>
      <c r="S38" s="26">
        <f t="shared" ref="S38:T44" si="23">ROUNDUP(SUM(M38),1)</f>
        <v>0</v>
      </c>
      <c r="T38" s="26">
        <f t="shared" si="23"/>
        <v>0</v>
      </c>
      <c r="U38" s="42">
        <f t="shared" ref="U38:U44" si="24">SUM(O38:T38)</f>
        <v>0</v>
      </c>
    </row>
    <row r="39" spans="1:21" ht="19.95" customHeight="1" x14ac:dyDescent="0.3">
      <c r="A39" s="55"/>
      <c r="B39" s="24"/>
      <c r="C39" s="24">
        <v>64052</v>
      </c>
      <c r="D39" s="25" t="s">
        <v>71</v>
      </c>
      <c r="E39" s="43"/>
      <c r="F39" s="27"/>
      <c r="G39" s="27"/>
      <c r="H39" s="44"/>
      <c r="I39" s="49">
        <f>H39*Subsector!$S$11</f>
        <v>0</v>
      </c>
      <c r="J39" s="26">
        <f>H39*Subsector!$S$12</f>
        <v>0</v>
      </c>
      <c r="K39" s="26">
        <f>H39*Subsector!$S$13</f>
        <v>0</v>
      </c>
      <c r="L39" s="26">
        <f>H39*Subsector!$S$15</f>
        <v>0</v>
      </c>
      <c r="M39" s="26">
        <f>H39*Subsector!$S$16</f>
        <v>0</v>
      </c>
      <c r="N39" s="66">
        <f>H39*Subsector!$S$17</f>
        <v>0</v>
      </c>
      <c r="O39" s="41">
        <f t="shared" si="20"/>
        <v>0</v>
      </c>
      <c r="P39" s="26">
        <f t="shared" si="20"/>
        <v>0</v>
      </c>
      <c r="Q39" s="26">
        <f t="shared" si="21"/>
        <v>0</v>
      </c>
      <c r="R39" s="26">
        <f t="shared" si="22"/>
        <v>0</v>
      </c>
      <c r="S39" s="26">
        <f t="shared" si="23"/>
        <v>0</v>
      </c>
      <c r="T39" s="26">
        <f t="shared" si="23"/>
        <v>0</v>
      </c>
      <c r="U39" s="42">
        <f t="shared" si="24"/>
        <v>0</v>
      </c>
    </row>
    <row r="40" spans="1:21" ht="19.95" customHeight="1" x14ac:dyDescent="0.3">
      <c r="A40" s="55"/>
      <c r="B40" s="24"/>
      <c r="C40" s="24">
        <v>64053</v>
      </c>
      <c r="D40" s="25" t="s">
        <v>72</v>
      </c>
      <c r="E40" s="43"/>
      <c r="F40" s="27"/>
      <c r="G40" s="27"/>
      <c r="H40" s="44"/>
      <c r="I40" s="49">
        <f>H40*Subsector!$S$11</f>
        <v>0</v>
      </c>
      <c r="J40" s="26">
        <f>H40*Subsector!$S$12</f>
        <v>0</v>
      </c>
      <c r="K40" s="26">
        <f>H40*Subsector!$S$13</f>
        <v>0</v>
      </c>
      <c r="L40" s="26">
        <f>H40*Subsector!$S$15</f>
        <v>0</v>
      </c>
      <c r="M40" s="26">
        <f>H40*Subsector!$S$16</f>
        <v>0</v>
      </c>
      <c r="N40" s="66">
        <f>H40*Subsector!$S$17</f>
        <v>0</v>
      </c>
      <c r="O40" s="41">
        <f t="shared" si="20"/>
        <v>0</v>
      </c>
      <c r="P40" s="26">
        <f t="shared" si="20"/>
        <v>0</v>
      </c>
      <c r="Q40" s="26">
        <f t="shared" si="21"/>
        <v>0</v>
      </c>
      <c r="R40" s="26">
        <f t="shared" si="22"/>
        <v>0</v>
      </c>
      <c r="S40" s="26">
        <f t="shared" si="23"/>
        <v>0</v>
      </c>
      <c r="T40" s="26">
        <f t="shared" si="23"/>
        <v>0</v>
      </c>
      <c r="U40" s="42">
        <f t="shared" si="24"/>
        <v>0</v>
      </c>
    </row>
    <row r="41" spans="1:21" ht="19.95" customHeight="1" x14ac:dyDescent="0.3">
      <c r="A41" s="55"/>
      <c r="B41" s="24"/>
      <c r="C41" s="24">
        <v>64054</v>
      </c>
      <c r="D41" s="25" t="s">
        <v>73</v>
      </c>
      <c r="E41" s="43"/>
      <c r="F41" s="27"/>
      <c r="G41" s="27"/>
      <c r="H41" s="44"/>
      <c r="I41" s="49">
        <f>H41*Subsector!$S$11</f>
        <v>0</v>
      </c>
      <c r="J41" s="26">
        <f>H41*Subsector!$S$12</f>
        <v>0</v>
      </c>
      <c r="K41" s="26">
        <f>H41*Subsector!$S$13</f>
        <v>0</v>
      </c>
      <c r="L41" s="26">
        <f>H41*Subsector!$S$15</f>
        <v>0</v>
      </c>
      <c r="M41" s="26">
        <f>H41*Subsector!$S$16</f>
        <v>0</v>
      </c>
      <c r="N41" s="66">
        <f>H41*Subsector!$S$17</f>
        <v>0</v>
      </c>
      <c r="O41" s="41">
        <f t="shared" si="20"/>
        <v>0</v>
      </c>
      <c r="P41" s="26">
        <f t="shared" si="20"/>
        <v>0</v>
      </c>
      <c r="Q41" s="26">
        <f t="shared" si="21"/>
        <v>0</v>
      </c>
      <c r="R41" s="26">
        <f t="shared" si="22"/>
        <v>0</v>
      </c>
      <c r="S41" s="26">
        <f t="shared" si="23"/>
        <v>0</v>
      </c>
      <c r="T41" s="26">
        <f t="shared" si="23"/>
        <v>0</v>
      </c>
      <c r="U41" s="42">
        <f t="shared" si="24"/>
        <v>0</v>
      </c>
    </row>
    <row r="42" spans="1:21" ht="19.95" customHeight="1" x14ac:dyDescent="0.3">
      <c r="A42" s="55"/>
      <c r="B42" s="24"/>
      <c r="C42" s="24">
        <v>64055</v>
      </c>
      <c r="D42" s="25" t="s">
        <v>74</v>
      </c>
      <c r="E42" s="43"/>
      <c r="F42" s="27"/>
      <c r="G42" s="27"/>
      <c r="H42" s="44"/>
      <c r="I42" s="49">
        <f>H42*Subsector!$S$11</f>
        <v>0</v>
      </c>
      <c r="J42" s="26">
        <f>H42*Subsector!$S$12</f>
        <v>0</v>
      </c>
      <c r="K42" s="26">
        <f>H42*Subsector!$S$13</f>
        <v>0</v>
      </c>
      <c r="L42" s="26">
        <f>H42*Subsector!$S$15</f>
        <v>0</v>
      </c>
      <c r="M42" s="26">
        <f>H42*Subsector!$S$16</f>
        <v>0</v>
      </c>
      <c r="N42" s="66">
        <f>H42*Subsector!$S$17</f>
        <v>0</v>
      </c>
      <c r="O42" s="41">
        <f t="shared" si="20"/>
        <v>0</v>
      </c>
      <c r="P42" s="26">
        <f t="shared" si="20"/>
        <v>0</v>
      </c>
      <c r="Q42" s="26">
        <f t="shared" si="21"/>
        <v>0</v>
      </c>
      <c r="R42" s="26">
        <f t="shared" si="22"/>
        <v>0</v>
      </c>
      <c r="S42" s="26">
        <f t="shared" si="23"/>
        <v>0</v>
      </c>
      <c r="T42" s="26">
        <f t="shared" si="23"/>
        <v>0</v>
      </c>
      <c r="U42" s="42">
        <f t="shared" si="24"/>
        <v>0</v>
      </c>
    </row>
    <row r="43" spans="1:21" ht="19.95" customHeight="1" x14ac:dyDescent="0.3">
      <c r="A43" s="55"/>
      <c r="B43" s="24"/>
      <c r="C43" s="24">
        <v>64056</v>
      </c>
      <c r="D43" s="25" t="s">
        <v>75</v>
      </c>
      <c r="E43" s="43"/>
      <c r="F43" s="27"/>
      <c r="G43" s="27"/>
      <c r="H43" s="44"/>
      <c r="I43" s="49">
        <f>H43*Subsector!$S$11</f>
        <v>0</v>
      </c>
      <c r="J43" s="26">
        <f>H43*Subsector!$S$12</f>
        <v>0</v>
      </c>
      <c r="K43" s="26">
        <f>H43*Subsector!$S$13</f>
        <v>0</v>
      </c>
      <c r="L43" s="26">
        <f>H43*Subsector!$S$15</f>
        <v>0</v>
      </c>
      <c r="M43" s="26">
        <f>H43*Subsector!$S$16</f>
        <v>0</v>
      </c>
      <c r="N43" s="66">
        <f>H43*Subsector!$S$17</f>
        <v>0</v>
      </c>
      <c r="O43" s="41">
        <f t="shared" si="20"/>
        <v>0</v>
      </c>
      <c r="P43" s="26">
        <f t="shared" si="20"/>
        <v>0</v>
      </c>
      <c r="Q43" s="26">
        <f t="shared" si="21"/>
        <v>0</v>
      </c>
      <c r="R43" s="26">
        <f t="shared" si="22"/>
        <v>0</v>
      </c>
      <c r="S43" s="26">
        <f t="shared" si="23"/>
        <v>0</v>
      </c>
      <c r="T43" s="26">
        <f t="shared" si="23"/>
        <v>0</v>
      </c>
      <c r="U43" s="42">
        <f t="shared" si="24"/>
        <v>0</v>
      </c>
    </row>
    <row r="44" spans="1:21" ht="19.95" customHeight="1" x14ac:dyDescent="0.3">
      <c r="A44" s="55"/>
      <c r="B44" s="24"/>
      <c r="C44" s="24">
        <v>64058</v>
      </c>
      <c r="D44" s="25" t="s">
        <v>76</v>
      </c>
      <c r="E44" s="43"/>
      <c r="F44" s="27"/>
      <c r="G44" s="27"/>
      <c r="H44" s="44"/>
      <c r="I44" s="49">
        <f>H44*Subsector!$S$11</f>
        <v>0</v>
      </c>
      <c r="J44" s="26">
        <f>H44*Subsector!$S$12</f>
        <v>0</v>
      </c>
      <c r="K44" s="26">
        <f>H44*Subsector!$S$13</f>
        <v>0</v>
      </c>
      <c r="L44" s="26">
        <f>H44*Subsector!$S$15</f>
        <v>0</v>
      </c>
      <c r="M44" s="26">
        <f>H44*Subsector!$S$16</f>
        <v>0</v>
      </c>
      <c r="N44" s="66">
        <f>H44*Subsector!$S$17</f>
        <v>0</v>
      </c>
      <c r="O44" s="41">
        <f t="shared" si="20"/>
        <v>0</v>
      </c>
      <c r="P44" s="26">
        <f t="shared" si="20"/>
        <v>0</v>
      </c>
      <c r="Q44" s="26">
        <f t="shared" si="21"/>
        <v>0</v>
      </c>
      <c r="R44" s="26">
        <f t="shared" si="22"/>
        <v>0</v>
      </c>
      <c r="S44" s="26">
        <f t="shared" si="23"/>
        <v>0</v>
      </c>
      <c r="T44" s="26">
        <f t="shared" si="23"/>
        <v>0</v>
      </c>
      <c r="U44" s="42">
        <f t="shared" si="24"/>
        <v>0</v>
      </c>
    </row>
    <row r="45" spans="1:21" ht="19.95" customHeight="1" x14ac:dyDescent="0.3">
      <c r="A45" s="54"/>
      <c r="B45" s="28">
        <v>6406</v>
      </c>
      <c r="C45" s="23"/>
      <c r="D45" s="21" t="s">
        <v>77</v>
      </c>
      <c r="E45" s="39">
        <f>SUM(E46:E49)</f>
        <v>0</v>
      </c>
      <c r="F45" s="22">
        <f t="shared" ref="F45:U45" si="25">SUM(F46:F49)</f>
        <v>0</v>
      </c>
      <c r="G45" s="22">
        <f t="shared" si="25"/>
        <v>0</v>
      </c>
      <c r="H45" s="40">
        <f t="shared" si="25"/>
        <v>0</v>
      </c>
      <c r="I45" s="36">
        <f t="shared" si="25"/>
        <v>0</v>
      </c>
      <c r="J45" s="22">
        <f t="shared" si="25"/>
        <v>0</v>
      </c>
      <c r="K45" s="22">
        <f t="shared" si="25"/>
        <v>0</v>
      </c>
      <c r="L45" s="22">
        <f t="shared" si="25"/>
        <v>0</v>
      </c>
      <c r="M45" s="22">
        <f t="shared" si="25"/>
        <v>0</v>
      </c>
      <c r="N45" s="65">
        <f t="shared" si="25"/>
        <v>0</v>
      </c>
      <c r="O45" s="39">
        <f t="shared" si="25"/>
        <v>0</v>
      </c>
      <c r="P45" s="22">
        <f t="shared" si="25"/>
        <v>0</v>
      </c>
      <c r="Q45" s="22">
        <f t="shared" si="25"/>
        <v>0</v>
      </c>
      <c r="R45" s="22">
        <f t="shared" si="25"/>
        <v>0</v>
      </c>
      <c r="S45" s="22">
        <f t="shared" si="25"/>
        <v>0</v>
      </c>
      <c r="T45" s="22">
        <f t="shared" si="25"/>
        <v>0</v>
      </c>
      <c r="U45" s="40">
        <f t="shared" si="25"/>
        <v>0</v>
      </c>
    </row>
    <row r="46" spans="1:21" ht="19.95" customHeight="1" x14ac:dyDescent="0.3">
      <c r="A46" s="55"/>
      <c r="B46" s="28"/>
      <c r="C46" s="24">
        <v>64061</v>
      </c>
      <c r="D46" s="25" t="s">
        <v>78</v>
      </c>
      <c r="E46" s="43"/>
      <c r="F46" s="27"/>
      <c r="G46" s="27"/>
      <c r="H46" s="44"/>
      <c r="I46" s="49">
        <f>H46*Subsector!$S$11</f>
        <v>0</v>
      </c>
      <c r="J46" s="26">
        <f>H46*Subsector!$S$12</f>
        <v>0</v>
      </c>
      <c r="K46" s="26">
        <f>H46*Subsector!$S$13</f>
        <v>0</v>
      </c>
      <c r="L46" s="26">
        <f>H46*Subsector!$S$15</f>
        <v>0</v>
      </c>
      <c r="M46" s="26">
        <f>H46*Subsector!$S$16</f>
        <v>0</v>
      </c>
      <c r="N46" s="66">
        <f>H46*Subsector!$S$17</f>
        <v>0</v>
      </c>
      <c r="O46" s="41">
        <f t="shared" ref="O46:P49" si="26">ROUNDUP(SUM(E46,I46),1)</f>
        <v>0</v>
      </c>
      <c r="P46" s="26">
        <f t="shared" si="26"/>
        <v>0</v>
      </c>
      <c r="Q46" s="26">
        <f>ROUNDUP(SUM(K46),1)</f>
        <v>0</v>
      </c>
      <c r="R46" s="26">
        <f>ROUNDUP(SUM(G46,L46),1)</f>
        <v>0</v>
      </c>
      <c r="S46" s="26">
        <f t="shared" ref="S46:T49" si="27">ROUNDUP(SUM(M46),1)</f>
        <v>0</v>
      </c>
      <c r="T46" s="26">
        <f t="shared" si="27"/>
        <v>0</v>
      </c>
      <c r="U46" s="42">
        <f>SUM(O46:T46)</f>
        <v>0</v>
      </c>
    </row>
    <row r="47" spans="1:21" ht="19.95" customHeight="1" x14ac:dyDescent="0.3">
      <c r="A47" s="55"/>
      <c r="B47" s="28"/>
      <c r="C47" s="24">
        <v>64063</v>
      </c>
      <c r="D47" s="25" t="s">
        <v>79</v>
      </c>
      <c r="E47" s="43"/>
      <c r="F47" s="27"/>
      <c r="G47" s="27"/>
      <c r="H47" s="44"/>
      <c r="I47" s="49">
        <f>H47*Subsector!$S$11</f>
        <v>0</v>
      </c>
      <c r="J47" s="26">
        <f>H47*Subsector!$S$12</f>
        <v>0</v>
      </c>
      <c r="K47" s="26">
        <f>H47*Subsector!$S$13</f>
        <v>0</v>
      </c>
      <c r="L47" s="26">
        <f>H47*Subsector!$S$15</f>
        <v>0</v>
      </c>
      <c r="M47" s="26">
        <f>H47*Subsector!$S$16</f>
        <v>0</v>
      </c>
      <c r="N47" s="66">
        <f>H47*Subsector!$S$17</f>
        <v>0</v>
      </c>
      <c r="O47" s="41">
        <f t="shared" si="26"/>
        <v>0</v>
      </c>
      <c r="P47" s="26">
        <f t="shared" si="26"/>
        <v>0</v>
      </c>
      <c r="Q47" s="26">
        <f>ROUNDUP(SUM(K47),1)</f>
        <v>0</v>
      </c>
      <c r="R47" s="26">
        <f>ROUNDUP(SUM(G47,L47),1)</f>
        <v>0</v>
      </c>
      <c r="S47" s="26">
        <f t="shared" si="27"/>
        <v>0</v>
      </c>
      <c r="T47" s="26">
        <f t="shared" si="27"/>
        <v>0</v>
      </c>
      <c r="U47" s="42">
        <f>SUM(O47:T47)</f>
        <v>0</v>
      </c>
    </row>
    <row r="48" spans="1:21" ht="19.95" customHeight="1" x14ac:dyDescent="0.3">
      <c r="A48" s="55"/>
      <c r="B48" s="24"/>
      <c r="C48" s="24">
        <v>64064</v>
      </c>
      <c r="D48" s="25" t="s">
        <v>80</v>
      </c>
      <c r="E48" s="43"/>
      <c r="F48" s="27"/>
      <c r="G48" s="27"/>
      <c r="H48" s="44"/>
      <c r="I48" s="49">
        <f>H48*Subsector!$S$11</f>
        <v>0</v>
      </c>
      <c r="J48" s="26">
        <f>H48*Subsector!$S$12</f>
        <v>0</v>
      </c>
      <c r="K48" s="26">
        <f>H48*Subsector!$S$13</f>
        <v>0</v>
      </c>
      <c r="L48" s="26">
        <f>H48*Subsector!$S$15</f>
        <v>0</v>
      </c>
      <c r="M48" s="26">
        <f>H48*Subsector!$S$16</f>
        <v>0</v>
      </c>
      <c r="N48" s="66">
        <f>H48*Subsector!$S$17</f>
        <v>0</v>
      </c>
      <c r="O48" s="41">
        <f t="shared" si="26"/>
        <v>0</v>
      </c>
      <c r="P48" s="26">
        <f t="shared" si="26"/>
        <v>0</v>
      </c>
      <c r="Q48" s="26">
        <f>ROUNDUP(SUM(K48),1)</f>
        <v>0</v>
      </c>
      <c r="R48" s="26">
        <f>ROUNDUP(SUM(G48,L48),1)</f>
        <v>0</v>
      </c>
      <c r="S48" s="26">
        <f t="shared" si="27"/>
        <v>0</v>
      </c>
      <c r="T48" s="26">
        <f t="shared" si="27"/>
        <v>0</v>
      </c>
      <c r="U48" s="42">
        <f>SUM(O48:T48)</f>
        <v>0</v>
      </c>
    </row>
    <row r="49" spans="1:21" ht="19.95" customHeight="1" x14ac:dyDescent="0.3">
      <c r="A49" s="55"/>
      <c r="B49" s="24"/>
      <c r="C49" s="24">
        <v>64068</v>
      </c>
      <c r="D49" s="25" t="s">
        <v>81</v>
      </c>
      <c r="E49" s="43"/>
      <c r="F49" s="27"/>
      <c r="G49" s="27"/>
      <c r="H49" s="44"/>
      <c r="I49" s="49">
        <f>H49*Subsector!$S$11</f>
        <v>0</v>
      </c>
      <c r="J49" s="26">
        <f>H49*Subsector!$S$12</f>
        <v>0</v>
      </c>
      <c r="K49" s="26">
        <f>H49*Subsector!$S$13</f>
        <v>0</v>
      </c>
      <c r="L49" s="26">
        <f>H49*Subsector!$S$15</f>
        <v>0</v>
      </c>
      <c r="M49" s="26">
        <f>H49*Subsector!$S$16</f>
        <v>0</v>
      </c>
      <c r="N49" s="66">
        <f>H49*Subsector!$S$17</f>
        <v>0</v>
      </c>
      <c r="O49" s="41">
        <f t="shared" si="26"/>
        <v>0</v>
      </c>
      <c r="P49" s="26">
        <f t="shared" si="26"/>
        <v>0</v>
      </c>
      <c r="Q49" s="26">
        <f>ROUNDUP(SUM(K49),1)</f>
        <v>0</v>
      </c>
      <c r="R49" s="26">
        <f>ROUNDUP(SUM(G49,L49),1)</f>
        <v>0</v>
      </c>
      <c r="S49" s="26">
        <f t="shared" si="27"/>
        <v>0</v>
      </c>
      <c r="T49" s="26">
        <f t="shared" si="27"/>
        <v>0</v>
      </c>
      <c r="U49" s="42">
        <f>SUM(O49:T49)</f>
        <v>0</v>
      </c>
    </row>
    <row r="50" spans="1:21" ht="19.95" customHeight="1" x14ac:dyDescent="0.3">
      <c r="A50" s="51"/>
      <c r="B50" s="28">
        <v>6407</v>
      </c>
      <c r="C50" s="28"/>
      <c r="D50" s="29" t="s">
        <v>82</v>
      </c>
      <c r="E50" s="39">
        <f>SUM(E51:E58)</f>
        <v>0</v>
      </c>
      <c r="F50" s="22">
        <f t="shared" ref="F50:U50" si="28">SUM(F51:F58)</f>
        <v>0</v>
      </c>
      <c r="G50" s="22">
        <f t="shared" si="28"/>
        <v>0</v>
      </c>
      <c r="H50" s="40">
        <f t="shared" si="28"/>
        <v>0</v>
      </c>
      <c r="I50" s="36">
        <f t="shared" si="28"/>
        <v>0</v>
      </c>
      <c r="J50" s="22">
        <f t="shared" si="28"/>
        <v>0</v>
      </c>
      <c r="K50" s="22">
        <f t="shared" si="28"/>
        <v>0</v>
      </c>
      <c r="L50" s="22">
        <f t="shared" si="28"/>
        <v>0</v>
      </c>
      <c r="M50" s="22">
        <f t="shared" si="28"/>
        <v>0</v>
      </c>
      <c r="N50" s="65">
        <f t="shared" si="28"/>
        <v>0</v>
      </c>
      <c r="O50" s="39">
        <f t="shared" si="28"/>
        <v>0</v>
      </c>
      <c r="P50" s="22">
        <f t="shared" si="28"/>
        <v>0</v>
      </c>
      <c r="Q50" s="22">
        <f t="shared" si="28"/>
        <v>0</v>
      </c>
      <c r="R50" s="22">
        <f t="shared" si="28"/>
        <v>0</v>
      </c>
      <c r="S50" s="22">
        <f t="shared" si="28"/>
        <v>0</v>
      </c>
      <c r="T50" s="22">
        <f t="shared" si="28"/>
        <v>0</v>
      </c>
      <c r="U50" s="40">
        <f t="shared" si="28"/>
        <v>0</v>
      </c>
    </row>
    <row r="51" spans="1:21" ht="19.95" customHeight="1" x14ac:dyDescent="0.3">
      <c r="A51" s="52"/>
      <c r="B51" s="28"/>
      <c r="C51" s="30">
        <v>64071</v>
      </c>
      <c r="D51" s="31" t="s">
        <v>83</v>
      </c>
      <c r="E51" s="43"/>
      <c r="F51" s="27"/>
      <c r="G51" s="27"/>
      <c r="H51" s="44"/>
      <c r="I51" s="49">
        <f>H51*Subsector!$S$11</f>
        <v>0</v>
      </c>
      <c r="J51" s="26">
        <f>H51*Subsector!$S$12</f>
        <v>0</v>
      </c>
      <c r="K51" s="26">
        <f>H51*Subsector!$S$13</f>
        <v>0</v>
      </c>
      <c r="L51" s="26">
        <f>H51*Subsector!$S$15</f>
        <v>0</v>
      </c>
      <c r="M51" s="26">
        <f>H51*Subsector!$S$16</f>
        <v>0</v>
      </c>
      <c r="N51" s="66">
        <f>H51*Subsector!$S$17</f>
        <v>0</v>
      </c>
      <c r="O51" s="41">
        <f t="shared" ref="O51:P58" si="29">ROUNDUP(SUM(E51,I51),1)</f>
        <v>0</v>
      </c>
      <c r="P51" s="26">
        <f t="shared" si="29"/>
        <v>0</v>
      </c>
      <c r="Q51" s="26">
        <f t="shared" ref="Q51:Q58" si="30">ROUNDUP(SUM(K51),1)</f>
        <v>0</v>
      </c>
      <c r="R51" s="26">
        <f t="shared" ref="R51:R58" si="31">ROUNDUP(SUM(G51,L51),1)</f>
        <v>0</v>
      </c>
      <c r="S51" s="26">
        <f t="shared" ref="S51:T58" si="32">ROUNDUP(SUM(M51),1)</f>
        <v>0</v>
      </c>
      <c r="T51" s="26">
        <f t="shared" si="32"/>
        <v>0</v>
      </c>
      <c r="U51" s="42">
        <f t="shared" ref="U51:U58" si="33">SUM(O51:T51)</f>
        <v>0</v>
      </c>
    </row>
    <row r="52" spans="1:21" ht="19.95" customHeight="1" x14ac:dyDescent="0.3">
      <c r="A52" s="52"/>
      <c r="B52" s="28"/>
      <c r="C52" s="30">
        <v>64072</v>
      </c>
      <c r="D52" s="31" t="s">
        <v>84</v>
      </c>
      <c r="E52" s="43"/>
      <c r="F52" s="27"/>
      <c r="G52" s="27"/>
      <c r="H52" s="44"/>
      <c r="I52" s="49">
        <f>H52*Subsector!$S$11</f>
        <v>0</v>
      </c>
      <c r="J52" s="26">
        <f>H52*Subsector!$S$12</f>
        <v>0</v>
      </c>
      <c r="K52" s="26">
        <f>H52*Subsector!$S$13</f>
        <v>0</v>
      </c>
      <c r="L52" s="26">
        <f>H52*Subsector!$S$15</f>
        <v>0</v>
      </c>
      <c r="M52" s="26">
        <f>H52*Subsector!$S$16</f>
        <v>0</v>
      </c>
      <c r="N52" s="66">
        <f>H52*Subsector!$S$17</f>
        <v>0</v>
      </c>
      <c r="O52" s="41">
        <f t="shared" si="29"/>
        <v>0</v>
      </c>
      <c r="P52" s="26">
        <f t="shared" si="29"/>
        <v>0</v>
      </c>
      <c r="Q52" s="26">
        <f t="shared" si="30"/>
        <v>0</v>
      </c>
      <c r="R52" s="26">
        <f t="shared" si="31"/>
        <v>0</v>
      </c>
      <c r="S52" s="26">
        <f t="shared" si="32"/>
        <v>0</v>
      </c>
      <c r="T52" s="26">
        <f t="shared" si="32"/>
        <v>0</v>
      </c>
      <c r="U52" s="42">
        <f t="shared" si="33"/>
        <v>0</v>
      </c>
    </row>
    <row r="53" spans="1:21" ht="19.95" customHeight="1" x14ac:dyDescent="0.3">
      <c r="A53" s="52"/>
      <c r="B53" s="28"/>
      <c r="C53" s="30">
        <v>64073</v>
      </c>
      <c r="D53" s="31" t="s">
        <v>85</v>
      </c>
      <c r="E53" s="43"/>
      <c r="F53" s="27"/>
      <c r="G53" s="27"/>
      <c r="H53" s="44"/>
      <c r="I53" s="49">
        <f>H53*Subsector!$S$11</f>
        <v>0</v>
      </c>
      <c r="J53" s="26">
        <f>H53*Subsector!$S$12</f>
        <v>0</v>
      </c>
      <c r="K53" s="26">
        <f>H53*Subsector!$S$13</f>
        <v>0</v>
      </c>
      <c r="L53" s="26">
        <f>H53*Subsector!$S$15</f>
        <v>0</v>
      </c>
      <c r="M53" s="26">
        <f>H53*Subsector!$S$16</f>
        <v>0</v>
      </c>
      <c r="N53" s="66">
        <f>H53*Subsector!$S$17</f>
        <v>0</v>
      </c>
      <c r="O53" s="41">
        <f t="shared" si="29"/>
        <v>0</v>
      </c>
      <c r="P53" s="26">
        <f t="shared" si="29"/>
        <v>0</v>
      </c>
      <c r="Q53" s="26">
        <f t="shared" si="30"/>
        <v>0</v>
      </c>
      <c r="R53" s="26">
        <f t="shared" si="31"/>
        <v>0</v>
      </c>
      <c r="S53" s="26">
        <f t="shared" si="32"/>
        <v>0</v>
      </c>
      <c r="T53" s="26">
        <f t="shared" si="32"/>
        <v>0</v>
      </c>
      <c r="U53" s="42">
        <f t="shared" si="33"/>
        <v>0</v>
      </c>
    </row>
    <row r="54" spans="1:21" ht="19.95" customHeight="1" x14ac:dyDescent="0.3">
      <c r="A54" s="52"/>
      <c r="B54" s="24"/>
      <c r="C54" s="30">
        <v>64074</v>
      </c>
      <c r="D54" s="25" t="s">
        <v>86</v>
      </c>
      <c r="E54" s="43"/>
      <c r="F54" s="27"/>
      <c r="G54" s="27"/>
      <c r="H54" s="44"/>
      <c r="I54" s="49">
        <f>H54*Subsector!$S$11</f>
        <v>0</v>
      </c>
      <c r="J54" s="26">
        <f>H54*Subsector!$S$12</f>
        <v>0</v>
      </c>
      <c r="K54" s="26">
        <f>H54*Subsector!$S$13</f>
        <v>0</v>
      </c>
      <c r="L54" s="26">
        <f>H54*Subsector!$S$15</f>
        <v>0</v>
      </c>
      <c r="M54" s="26">
        <f>H54*Subsector!$S$16</f>
        <v>0</v>
      </c>
      <c r="N54" s="66">
        <f>H54*Subsector!$S$17</f>
        <v>0</v>
      </c>
      <c r="O54" s="41">
        <f t="shared" si="29"/>
        <v>0</v>
      </c>
      <c r="P54" s="26">
        <f t="shared" si="29"/>
        <v>0</v>
      </c>
      <c r="Q54" s="26">
        <f t="shared" si="30"/>
        <v>0</v>
      </c>
      <c r="R54" s="26">
        <f t="shared" si="31"/>
        <v>0</v>
      </c>
      <c r="S54" s="26">
        <f t="shared" si="32"/>
        <v>0</v>
      </c>
      <c r="T54" s="26">
        <f t="shared" si="32"/>
        <v>0</v>
      </c>
      <c r="U54" s="42">
        <f t="shared" si="33"/>
        <v>0</v>
      </c>
    </row>
    <row r="55" spans="1:21" ht="19.95" customHeight="1" x14ac:dyDescent="0.3">
      <c r="A55" s="52"/>
      <c r="B55" s="28"/>
      <c r="C55" s="30">
        <v>64075</v>
      </c>
      <c r="D55" s="31" t="s">
        <v>48</v>
      </c>
      <c r="E55" s="43"/>
      <c r="F55" s="27"/>
      <c r="G55" s="27"/>
      <c r="H55" s="44"/>
      <c r="I55" s="49">
        <f>H55*Subsector!$S$11</f>
        <v>0</v>
      </c>
      <c r="J55" s="26">
        <f>H55*Subsector!$S$12</f>
        <v>0</v>
      </c>
      <c r="K55" s="26">
        <f>H55*Subsector!$S$13</f>
        <v>0</v>
      </c>
      <c r="L55" s="26">
        <f>H55*Subsector!$S$15</f>
        <v>0</v>
      </c>
      <c r="M55" s="26">
        <f>H55*Subsector!$S$16</f>
        <v>0</v>
      </c>
      <c r="N55" s="66">
        <f>H55*Subsector!$S$17</f>
        <v>0</v>
      </c>
      <c r="O55" s="41">
        <f t="shared" si="29"/>
        <v>0</v>
      </c>
      <c r="P55" s="26">
        <f t="shared" si="29"/>
        <v>0</v>
      </c>
      <c r="Q55" s="26">
        <f t="shared" si="30"/>
        <v>0</v>
      </c>
      <c r="R55" s="26">
        <f t="shared" si="31"/>
        <v>0</v>
      </c>
      <c r="S55" s="26">
        <f t="shared" si="32"/>
        <v>0</v>
      </c>
      <c r="T55" s="26">
        <f t="shared" si="32"/>
        <v>0</v>
      </c>
      <c r="U55" s="42">
        <f t="shared" si="33"/>
        <v>0</v>
      </c>
    </row>
    <row r="56" spans="1:21" ht="19.95" customHeight="1" x14ac:dyDescent="0.3">
      <c r="A56" s="52"/>
      <c r="B56" s="28"/>
      <c r="C56" s="30">
        <v>64076</v>
      </c>
      <c r="D56" s="31" t="s">
        <v>49</v>
      </c>
      <c r="E56" s="43"/>
      <c r="F56" s="27"/>
      <c r="G56" s="27"/>
      <c r="H56" s="44"/>
      <c r="I56" s="49">
        <f>H56*Subsector!$S$11</f>
        <v>0</v>
      </c>
      <c r="J56" s="26">
        <f>H56*Subsector!$S$12</f>
        <v>0</v>
      </c>
      <c r="K56" s="26">
        <f>H56*Subsector!$S$13</f>
        <v>0</v>
      </c>
      <c r="L56" s="26">
        <f>H56*Subsector!$S$15</f>
        <v>0</v>
      </c>
      <c r="M56" s="26">
        <f>H56*Subsector!$S$16</f>
        <v>0</v>
      </c>
      <c r="N56" s="66">
        <f>H56*Subsector!$S$17</f>
        <v>0</v>
      </c>
      <c r="O56" s="41">
        <f t="shared" si="29"/>
        <v>0</v>
      </c>
      <c r="P56" s="26">
        <f t="shared" si="29"/>
        <v>0</v>
      </c>
      <c r="Q56" s="26">
        <f t="shared" si="30"/>
        <v>0</v>
      </c>
      <c r="R56" s="26">
        <f t="shared" si="31"/>
        <v>0</v>
      </c>
      <c r="S56" s="26">
        <f t="shared" si="32"/>
        <v>0</v>
      </c>
      <c r="T56" s="26">
        <f t="shared" si="32"/>
        <v>0</v>
      </c>
      <c r="U56" s="42">
        <f t="shared" si="33"/>
        <v>0</v>
      </c>
    </row>
    <row r="57" spans="1:21" ht="19.95" customHeight="1" x14ac:dyDescent="0.3">
      <c r="A57" s="52"/>
      <c r="B57" s="28"/>
      <c r="C57" s="30">
        <v>64077</v>
      </c>
      <c r="D57" s="31" t="s">
        <v>50</v>
      </c>
      <c r="E57" s="43"/>
      <c r="F57" s="27"/>
      <c r="G57" s="27"/>
      <c r="H57" s="44"/>
      <c r="I57" s="49">
        <f>H57*Subsector!$S$11</f>
        <v>0</v>
      </c>
      <c r="J57" s="26">
        <f>H57*Subsector!$S$12</f>
        <v>0</v>
      </c>
      <c r="K57" s="26">
        <f>H57*Subsector!$S$13</f>
        <v>0</v>
      </c>
      <c r="L57" s="26">
        <f>H57*Subsector!$S$15</f>
        <v>0</v>
      </c>
      <c r="M57" s="26">
        <f>H57*Subsector!$S$16</f>
        <v>0</v>
      </c>
      <c r="N57" s="66">
        <f>H57*Subsector!$S$17</f>
        <v>0</v>
      </c>
      <c r="O57" s="41">
        <f t="shared" si="29"/>
        <v>0</v>
      </c>
      <c r="P57" s="26">
        <f t="shared" si="29"/>
        <v>0</v>
      </c>
      <c r="Q57" s="26">
        <f t="shared" si="30"/>
        <v>0</v>
      </c>
      <c r="R57" s="26">
        <f t="shared" si="31"/>
        <v>0</v>
      </c>
      <c r="S57" s="26">
        <f t="shared" si="32"/>
        <v>0</v>
      </c>
      <c r="T57" s="26">
        <f t="shared" si="32"/>
        <v>0</v>
      </c>
      <c r="U57" s="42">
        <f t="shared" si="33"/>
        <v>0</v>
      </c>
    </row>
    <row r="58" spans="1:21" ht="19.95" customHeight="1" x14ac:dyDescent="0.3">
      <c r="A58" s="52"/>
      <c r="B58" s="28"/>
      <c r="C58" s="30">
        <v>64078</v>
      </c>
      <c r="D58" s="31" t="s">
        <v>87</v>
      </c>
      <c r="E58" s="43"/>
      <c r="F58" s="27"/>
      <c r="G58" s="27"/>
      <c r="H58" s="44"/>
      <c r="I58" s="49">
        <f>H58*Subsector!$S$11</f>
        <v>0</v>
      </c>
      <c r="J58" s="26">
        <f>H58*Subsector!$S$12</f>
        <v>0</v>
      </c>
      <c r="K58" s="26">
        <f>H58*Subsector!$S$13</f>
        <v>0</v>
      </c>
      <c r="L58" s="26">
        <f>H58*Subsector!$S$15</f>
        <v>0</v>
      </c>
      <c r="M58" s="26">
        <f>H58*Subsector!$S$16</f>
        <v>0</v>
      </c>
      <c r="N58" s="66">
        <f>H58*Subsector!$S$17</f>
        <v>0</v>
      </c>
      <c r="O58" s="41">
        <f t="shared" si="29"/>
        <v>0</v>
      </c>
      <c r="P58" s="26">
        <f t="shared" si="29"/>
        <v>0</v>
      </c>
      <c r="Q58" s="26">
        <f t="shared" si="30"/>
        <v>0</v>
      </c>
      <c r="R58" s="26">
        <f t="shared" si="31"/>
        <v>0</v>
      </c>
      <c r="S58" s="26">
        <f t="shared" si="32"/>
        <v>0</v>
      </c>
      <c r="T58" s="26">
        <f t="shared" si="32"/>
        <v>0</v>
      </c>
      <c r="U58" s="42">
        <f t="shared" si="33"/>
        <v>0</v>
      </c>
    </row>
    <row r="59" spans="1:21" ht="19.95" customHeight="1" x14ac:dyDescent="0.3">
      <c r="A59" s="51"/>
      <c r="B59" s="28">
        <v>6498</v>
      </c>
      <c r="C59" s="28"/>
      <c r="D59" s="29" t="s">
        <v>88</v>
      </c>
      <c r="E59" s="39">
        <f>SUM(E60)</f>
        <v>0</v>
      </c>
      <c r="F59" s="22">
        <f t="shared" ref="F59:U59" si="34">SUM(F60)</f>
        <v>0</v>
      </c>
      <c r="G59" s="22">
        <f>SUM(G60)</f>
        <v>0</v>
      </c>
      <c r="H59" s="40">
        <f t="shared" si="34"/>
        <v>0</v>
      </c>
      <c r="I59" s="36">
        <f t="shared" si="34"/>
        <v>0</v>
      </c>
      <c r="J59" s="22">
        <f t="shared" si="34"/>
        <v>0</v>
      </c>
      <c r="K59" s="22">
        <f t="shared" si="34"/>
        <v>0</v>
      </c>
      <c r="L59" s="22">
        <f t="shared" si="34"/>
        <v>0</v>
      </c>
      <c r="M59" s="22">
        <f t="shared" si="34"/>
        <v>0</v>
      </c>
      <c r="N59" s="65">
        <f t="shared" si="34"/>
        <v>0</v>
      </c>
      <c r="O59" s="39">
        <f t="shared" si="34"/>
        <v>0</v>
      </c>
      <c r="P59" s="22">
        <f t="shared" si="34"/>
        <v>0</v>
      </c>
      <c r="Q59" s="22">
        <f t="shared" si="34"/>
        <v>0</v>
      </c>
      <c r="R59" s="22">
        <f t="shared" si="34"/>
        <v>0</v>
      </c>
      <c r="S59" s="22">
        <f t="shared" si="34"/>
        <v>0</v>
      </c>
      <c r="T59" s="22">
        <f t="shared" si="34"/>
        <v>0</v>
      </c>
      <c r="U59" s="40">
        <f t="shared" si="34"/>
        <v>0</v>
      </c>
    </row>
    <row r="60" spans="1:21" ht="19.95" customHeight="1" thickBot="1" x14ac:dyDescent="0.35">
      <c r="A60" s="56"/>
      <c r="B60" s="57"/>
      <c r="C60" s="58">
        <v>64981</v>
      </c>
      <c r="D60" s="59" t="s">
        <v>88</v>
      </c>
      <c r="E60" s="68"/>
      <c r="F60" s="69"/>
      <c r="G60" s="69"/>
      <c r="H60" s="70"/>
      <c r="I60" s="63">
        <f>H60*Subsector!$S$11</f>
        <v>0</v>
      </c>
      <c r="J60" s="61">
        <f>H60*Subsector!$S$12</f>
        <v>0</v>
      </c>
      <c r="K60" s="61">
        <f>H60*Subsector!$S$13</f>
        <v>0</v>
      </c>
      <c r="L60" s="61">
        <f>H60*Subsector!$S$15</f>
        <v>0</v>
      </c>
      <c r="M60" s="61">
        <f>H60*Subsector!$S$16</f>
        <v>0</v>
      </c>
      <c r="N60" s="67">
        <f>H60*Subsector!$S$17</f>
        <v>0</v>
      </c>
      <c r="O60" s="60">
        <f>ROUNDUP(SUM(E60,I60),1)</f>
        <v>0</v>
      </c>
      <c r="P60" s="61">
        <f>ROUNDUP(SUM(F60,J60),1)</f>
        <v>0</v>
      </c>
      <c r="Q60" s="61">
        <f>ROUNDUP(SUM(K60),1)</f>
        <v>0</v>
      </c>
      <c r="R60" s="61">
        <f>ROUNDUP(SUM(G60,L60),1)</f>
        <v>0</v>
      </c>
      <c r="S60" s="61">
        <f>ROUNDUP(SUM(M60),1)</f>
        <v>0</v>
      </c>
      <c r="T60" s="61">
        <f>ROUNDUP(SUM(N60),1)</f>
        <v>0</v>
      </c>
      <c r="U60" s="62">
        <f>SUM(O60:T60)</f>
        <v>0</v>
      </c>
    </row>
  </sheetData>
  <sheetProtection algorithmName="SHA-512" hashValue="8FmiRj+9K4fFAtwwDdIy67LzoupgcvvMg/pkOt5OCTB09NAKneGq6rqGJgUlMzt/mxuLJsP5i7cp7Vm1xxrjXw==" saltValue="8j2emCpbO2xtGQTleU3FmQ==" spinCount="100000" sheet="1" formatCells="0" formatColumns="0" formatRows="0" sort="0" autoFilter="0" pivotTables="0"/>
  <mergeCells count="8">
    <mergeCell ref="A3:U3"/>
    <mergeCell ref="A5:A7"/>
    <mergeCell ref="B5:B7"/>
    <mergeCell ref="C5:C7"/>
    <mergeCell ref="D5:D7"/>
    <mergeCell ref="E5:H5"/>
    <mergeCell ref="I5:N6"/>
    <mergeCell ref="O5:U6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7F2DA-451E-472D-BA47-5F733A461A15}">
  <sheetPr codeName="Sheet15"/>
  <dimension ref="A1:U60"/>
  <sheetViews>
    <sheetView zoomScale="70" zoomScaleNormal="70" workbookViewId="0">
      <selection activeCell="O11" sqref="O11"/>
    </sheetView>
  </sheetViews>
  <sheetFormatPr defaultRowHeight="14.4" x14ac:dyDescent="0.3"/>
  <cols>
    <col min="1" max="1" width="6" customWidth="1"/>
    <col min="2" max="2" width="6.5546875" customWidth="1"/>
    <col min="3" max="3" width="9.44140625" customWidth="1"/>
    <col min="4" max="4" width="48.77734375" customWidth="1"/>
    <col min="5" max="9" width="8.21875" customWidth="1"/>
    <col min="10" max="21" width="8.77734375" customWidth="1"/>
  </cols>
  <sheetData>
    <row r="1" spans="1:21" ht="21.45" customHeight="1" x14ac:dyDescent="0.3"/>
    <row r="2" spans="1:21" ht="21.45" customHeight="1" x14ac:dyDescent="0.3"/>
    <row r="3" spans="1:21" ht="36.450000000000003" customHeight="1" x14ac:dyDescent="0.3">
      <c r="A3" s="108" t="s">
        <v>98</v>
      </c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</row>
    <row r="4" spans="1:21" ht="21.45" customHeight="1" thickBot="1" x14ac:dyDescent="0.35"/>
    <row r="5" spans="1:21" ht="43.5" customHeight="1" x14ac:dyDescent="0.3">
      <c r="A5" s="123" t="s">
        <v>39</v>
      </c>
      <c r="B5" s="121" t="s">
        <v>40</v>
      </c>
      <c r="C5" s="121" t="s">
        <v>41</v>
      </c>
      <c r="D5" s="119" t="s">
        <v>42</v>
      </c>
      <c r="E5" s="125" t="s">
        <v>99</v>
      </c>
      <c r="F5" s="126"/>
      <c r="G5" s="126"/>
      <c r="H5" s="127"/>
      <c r="I5" s="140" t="s">
        <v>94</v>
      </c>
      <c r="J5" s="141"/>
      <c r="K5" s="141"/>
      <c r="L5" s="141"/>
      <c r="M5" s="141"/>
      <c r="N5" s="142"/>
      <c r="O5" s="134" t="s">
        <v>95</v>
      </c>
      <c r="P5" s="135"/>
      <c r="Q5" s="135"/>
      <c r="R5" s="135"/>
      <c r="S5" s="135"/>
      <c r="T5" s="135"/>
      <c r="U5" s="136"/>
    </row>
    <row r="6" spans="1:21" ht="43.05" customHeight="1" x14ac:dyDescent="0.8">
      <c r="A6" s="124"/>
      <c r="B6" s="122"/>
      <c r="C6" s="122"/>
      <c r="D6" s="120"/>
      <c r="E6" s="45"/>
      <c r="F6" s="46"/>
      <c r="G6" s="46"/>
      <c r="H6" s="47"/>
      <c r="I6" s="143"/>
      <c r="J6" s="144"/>
      <c r="K6" s="144"/>
      <c r="L6" s="144"/>
      <c r="M6" s="144"/>
      <c r="N6" s="145"/>
      <c r="O6" s="137"/>
      <c r="P6" s="138"/>
      <c r="Q6" s="138"/>
      <c r="R6" s="138"/>
      <c r="S6" s="138"/>
      <c r="T6" s="138"/>
      <c r="U6" s="139"/>
    </row>
    <row r="7" spans="1:21" ht="132.44999999999999" customHeight="1" x14ac:dyDescent="0.3">
      <c r="A7" s="124"/>
      <c r="B7" s="122"/>
      <c r="C7" s="122"/>
      <c r="D7" s="120"/>
      <c r="E7" s="78" t="s">
        <v>25</v>
      </c>
      <c r="F7" s="74" t="s">
        <v>26</v>
      </c>
      <c r="G7" s="74" t="s">
        <v>29</v>
      </c>
      <c r="H7" s="79" t="s">
        <v>91</v>
      </c>
      <c r="I7" s="77" t="s">
        <v>25</v>
      </c>
      <c r="J7" s="75" t="s">
        <v>26</v>
      </c>
      <c r="K7" s="75" t="s">
        <v>27</v>
      </c>
      <c r="L7" s="75" t="s">
        <v>29</v>
      </c>
      <c r="M7" s="75" t="s">
        <v>30</v>
      </c>
      <c r="N7" s="80" t="s">
        <v>31</v>
      </c>
      <c r="O7" s="81" t="s">
        <v>25</v>
      </c>
      <c r="P7" s="76" t="s">
        <v>26</v>
      </c>
      <c r="Q7" s="76" t="s">
        <v>27</v>
      </c>
      <c r="R7" s="76" t="s">
        <v>29</v>
      </c>
      <c r="S7" s="76" t="s">
        <v>30</v>
      </c>
      <c r="T7" s="76" t="s">
        <v>31</v>
      </c>
      <c r="U7" s="82" t="s">
        <v>12</v>
      </c>
    </row>
    <row r="8" spans="1:21" ht="19.95" customHeight="1" x14ac:dyDescent="0.3">
      <c r="A8" s="50">
        <v>64</v>
      </c>
      <c r="B8" s="32"/>
      <c r="C8" s="32"/>
      <c r="D8" s="33" t="s">
        <v>43</v>
      </c>
      <c r="E8" s="37">
        <f>SUM(E9,E18,E27,E33,E37,E45,E50,E59)</f>
        <v>0</v>
      </c>
      <c r="F8" s="34">
        <f t="shared" ref="F8:U8" si="0">SUM(F9,F18,F27,F33,F37,F45,F50,F59)</f>
        <v>0</v>
      </c>
      <c r="G8" s="34">
        <f t="shared" si="0"/>
        <v>0</v>
      </c>
      <c r="H8" s="38">
        <f t="shared" si="0"/>
        <v>0</v>
      </c>
      <c r="I8" s="35">
        <f t="shared" si="0"/>
        <v>0</v>
      </c>
      <c r="J8" s="34">
        <f t="shared" si="0"/>
        <v>0</v>
      </c>
      <c r="K8" s="34">
        <f t="shared" si="0"/>
        <v>0</v>
      </c>
      <c r="L8" s="34">
        <f t="shared" si="0"/>
        <v>0</v>
      </c>
      <c r="M8" s="34">
        <f t="shared" si="0"/>
        <v>0</v>
      </c>
      <c r="N8" s="64">
        <f t="shared" si="0"/>
        <v>0</v>
      </c>
      <c r="O8" s="37">
        <f t="shared" si="0"/>
        <v>0</v>
      </c>
      <c r="P8" s="34">
        <f t="shared" si="0"/>
        <v>0</v>
      </c>
      <c r="Q8" s="34">
        <f t="shared" si="0"/>
        <v>0</v>
      </c>
      <c r="R8" s="34">
        <f t="shared" si="0"/>
        <v>0</v>
      </c>
      <c r="S8" s="34">
        <f t="shared" si="0"/>
        <v>0</v>
      </c>
      <c r="T8" s="34">
        <f t="shared" si="0"/>
        <v>0</v>
      </c>
      <c r="U8" s="38">
        <f t="shared" si="0"/>
        <v>0</v>
      </c>
    </row>
    <row r="9" spans="1:21" ht="19.95" customHeight="1" x14ac:dyDescent="0.3">
      <c r="A9" s="51"/>
      <c r="B9" s="23">
        <v>6401</v>
      </c>
      <c r="C9" s="23"/>
      <c r="D9" s="21" t="s">
        <v>90</v>
      </c>
      <c r="E9" s="39">
        <f>SUM(E10:E17)</f>
        <v>0</v>
      </c>
      <c r="F9" s="22">
        <f>SUM(F10:F17)</f>
        <v>0</v>
      </c>
      <c r="G9" s="22">
        <f t="shared" ref="G9:U9" si="1">SUM(G10:G17)</f>
        <v>0</v>
      </c>
      <c r="H9" s="40">
        <f t="shared" si="1"/>
        <v>0</v>
      </c>
      <c r="I9" s="36">
        <f t="shared" si="1"/>
        <v>0</v>
      </c>
      <c r="J9" s="22">
        <f t="shared" si="1"/>
        <v>0</v>
      </c>
      <c r="K9" s="22">
        <f t="shared" si="1"/>
        <v>0</v>
      </c>
      <c r="L9" s="22">
        <f t="shared" si="1"/>
        <v>0</v>
      </c>
      <c r="M9" s="22">
        <f t="shared" si="1"/>
        <v>0</v>
      </c>
      <c r="N9" s="65">
        <f t="shared" si="1"/>
        <v>0</v>
      </c>
      <c r="O9" s="39">
        <f>SUM(O10:O17)</f>
        <v>0</v>
      </c>
      <c r="P9" s="22">
        <f t="shared" si="1"/>
        <v>0</v>
      </c>
      <c r="Q9" s="22">
        <f t="shared" si="1"/>
        <v>0</v>
      </c>
      <c r="R9" s="22">
        <f t="shared" si="1"/>
        <v>0</v>
      </c>
      <c r="S9" s="22">
        <f t="shared" si="1"/>
        <v>0</v>
      </c>
      <c r="T9" s="22">
        <f t="shared" si="1"/>
        <v>0</v>
      </c>
      <c r="U9" s="40">
        <f t="shared" si="1"/>
        <v>0</v>
      </c>
    </row>
    <row r="10" spans="1:21" ht="19.95" customHeight="1" x14ac:dyDescent="0.3">
      <c r="A10" s="52"/>
      <c r="B10" s="24"/>
      <c r="C10" s="24">
        <v>64011</v>
      </c>
      <c r="D10" s="25" t="s">
        <v>44</v>
      </c>
      <c r="E10" s="43"/>
      <c r="F10" s="27"/>
      <c r="G10" s="27"/>
      <c r="H10" s="44"/>
      <c r="I10" s="49">
        <f>H10*Subsector!$S$11</f>
        <v>0</v>
      </c>
      <c r="J10" s="26">
        <f>H10*Subsector!$S$12</f>
        <v>0</v>
      </c>
      <c r="K10" s="26">
        <f>H10*Subsector!$S$13</f>
        <v>0</v>
      </c>
      <c r="L10" s="26">
        <f>H10*Subsector!$S$15</f>
        <v>0</v>
      </c>
      <c r="M10" s="26">
        <f>H10*Subsector!$S$16</f>
        <v>0</v>
      </c>
      <c r="N10" s="66">
        <f>H10*Subsector!$S$17</f>
        <v>0</v>
      </c>
      <c r="O10" s="41">
        <f t="shared" ref="O10:P17" si="2">ROUNDUP(SUM(E10,I10),1)</f>
        <v>0</v>
      </c>
      <c r="P10" s="26">
        <f t="shared" si="2"/>
        <v>0</v>
      </c>
      <c r="Q10" s="26">
        <f t="shared" ref="Q10:Q17" si="3">ROUNDUP(SUM(K10),1)</f>
        <v>0</v>
      </c>
      <c r="R10" s="26">
        <f t="shared" ref="R10:R17" si="4">ROUNDUP(SUM(G10,L10),1)</f>
        <v>0</v>
      </c>
      <c r="S10" s="26">
        <f t="shared" ref="S10:T17" si="5">ROUNDUP(SUM(M10),1)</f>
        <v>0</v>
      </c>
      <c r="T10" s="26">
        <f t="shared" si="5"/>
        <v>0</v>
      </c>
      <c r="U10" s="42">
        <f t="shared" ref="U10:U17" si="6">SUM(O10:T10)</f>
        <v>0</v>
      </c>
    </row>
    <row r="11" spans="1:21" ht="19.95" customHeight="1" x14ac:dyDescent="0.3">
      <c r="A11" s="52"/>
      <c r="B11" s="24"/>
      <c r="C11" s="24">
        <v>64012</v>
      </c>
      <c r="D11" s="25" t="s">
        <v>89</v>
      </c>
      <c r="E11" s="43"/>
      <c r="F11" s="27"/>
      <c r="G11" s="27"/>
      <c r="H11" s="44"/>
      <c r="I11" s="49">
        <f>H11*Subsector!$S$11</f>
        <v>0</v>
      </c>
      <c r="J11" s="26">
        <f>H11*Subsector!$S$12</f>
        <v>0</v>
      </c>
      <c r="K11" s="26">
        <f>H11*Subsector!$S$13</f>
        <v>0</v>
      </c>
      <c r="L11" s="26">
        <f>H11*Subsector!$S$15</f>
        <v>0</v>
      </c>
      <c r="M11" s="26">
        <f>H11*Subsector!$S$16</f>
        <v>0</v>
      </c>
      <c r="N11" s="66">
        <f>H11*Subsector!$S$17</f>
        <v>0</v>
      </c>
      <c r="O11" s="41">
        <f t="shared" si="2"/>
        <v>0</v>
      </c>
      <c r="P11" s="26">
        <f t="shared" si="2"/>
        <v>0</v>
      </c>
      <c r="Q11" s="26">
        <f t="shared" si="3"/>
        <v>0</v>
      </c>
      <c r="R11" s="26">
        <f t="shared" si="4"/>
        <v>0</v>
      </c>
      <c r="S11" s="26">
        <f t="shared" si="5"/>
        <v>0</v>
      </c>
      <c r="T11" s="26">
        <f t="shared" si="5"/>
        <v>0</v>
      </c>
      <c r="U11" s="42">
        <f t="shared" si="6"/>
        <v>0</v>
      </c>
    </row>
    <row r="12" spans="1:21" ht="19.95" customHeight="1" x14ac:dyDescent="0.3">
      <c r="A12" s="52"/>
      <c r="B12" s="24"/>
      <c r="C12" s="24">
        <v>64013</v>
      </c>
      <c r="D12" s="25" t="s">
        <v>45</v>
      </c>
      <c r="E12" s="43"/>
      <c r="F12" s="27"/>
      <c r="G12" s="27"/>
      <c r="H12" s="44"/>
      <c r="I12" s="49">
        <f>H12*Subsector!$S$11</f>
        <v>0</v>
      </c>
      <c r="J12" s="26">
        <f>H12*Subsector!$S$12</f>
        <v>0</v>
      </c>
      <c r="K12" s="26">
        <f>H12*Subsector!$S$13</f>
        <v>0</v>
      </c>
      <c r="L12" s="26">
        <f>H12*Subsector!$S$15</f>
        <v>0</v>
      </c>
      <c r="M12" s="26">
        <f>H12*Subsector!$S$16</f>
        <v>0</v>
      </c>
      <c r="N12" s="66">
        <f>H12*Subsector!$S$17</f>
        <v>0</v>
      </c>
      <c r="O12" s="41">
        <f t="shared" si="2"/>
        <v>0</v>
      </c>
      <c r="P12" s="26">
        <f t="shared" si="2"/>
        <v>0</v>
      </c>
      <c r="Q12" s="26">
        <f t="shared" si="3"/>
        <v>0</v>
      </c>
      <c r="R12" s="26">
        <f t="shared" si="4"/>
        <v>0</v>
      </c>
      <c r="S12" s="26">
        <f t="shared" si="5"/>
        <v>0</v>
      </c>
      <c r="T12" s="26">
        <f t="shared" si="5"/>
        <v>0</v>
      </c>
      <c r="U12" s="42">
        <f t="shared" si="6"/>
        <v>0</v>
      </c>
    </row>
    <row r="13" spans="1:21" ht="19.95" customHeight="1" x14ac:dyDescent="0.3">
      <c r="A13" s="52"/>
      <c r="B13" s="24"/>
      <c r="C13" s="24">
        <v>64014</v>
      </c>
      <c r="D13" s="25" t="s">
        <v>46</v>
      </c>
      <c r="E13" s="43"/>
      <c r="F13" s="27"/>
      <c r="G13" s="27"/>
      <c r="H13" s="44"/>
      <c r="I13" s="49">
        <f>H13*Subsector!$S$11</f>
        <v>0</v>
      </c>
      <c r="J13" s="26">
        <f>H13*Subsector!$S$12</f>
        <v>0</v>
      </c>
      <c r="K13" s="26">
        <f>H13*Subsector!$S$13</f>
        <v>0</v>
      </c>
      <c r="L13" s="26">
        <f>H13*Subsector!$S$15</f>
        <v>0</v>
      </c>
      <c r="M13" s="26">
        <f>H13*Subsector!$S$16</f>
        <v>0</v>
      </c>
      <c r="N13" s="66">
        <f>H13*Subsector!$S$17</f>
        <v>0</v>
      </c>
      <c r="O13" s="41">
        <f t="shared" si="2"/>
        <v>0</v>
      </c>
      <c r="P13" s="26">
        <f t="shared" si="2"/>
        <v>0</v>
      </c>
      <c r="Q13" s="26">
        <f t="shared" si="3"/>
        <v>0</v>
      </c>
      <c r="R13" s="26">
        <f t="shared" si="4"/>
        <v>0</v>
      </c>
      <c r="S13" s="26">
        <f t="shared" si="5"/>
        <v>0</v>
      </c>
      <c r="T13" s="26">
        <f t="shared" si="5"/>
        <v>0</v>
      </c>
      <c r="U13" s="42">
        <f t="shared" si="6"/>
        <v>0</v>
      </c>
    </row>
    <row r="14" spans="1:21" ht="19.95" customHeight="1" x14ac:dyDescent="0.3">
      <c r="A14" s="52"/>
      <c r="B14" s="24"/>
      <c r="C14" s="24">
        <v>64015</v>
      </c>
      <c r="D14" s="25" t="s">
        <v>47</v>
      </c>
      <c r="E14" s="43"/>
      <c r="F14" s="27"/>
      <c r="G14" s="27"/>
      <c r="H14" s="44"/>
      <c r="I14" s="49">
        <f>H14*Subsector!$S$11</f>
        <v>0</v>
      </c>
      <c r="J14" s="26">
        <f>H14*Subsector!$S$12</f>
        <v>0</v>
      </c>
      <c r="K14" s="26">
        <f>H14*Subsector!$S$13</f>
        <v>0</v>
      </c>
      <c r="L14" s="26">
        <f>H14*Subsector!$S$15</f>
        <v>0</v>
      </c>
      <c r="M14" s="26">
        <f>H14*Subsector!$S$16</f>
        <v>0</v>
      </c>
      <c r="N14" s="66">
        <f>H14*Subsector!$S$17</f>
        <v>0</v>
      </c>
      <c r="O14" s="41">
        <f t="shared" si="2"/>
        <v>0</v>
      </c>
      <c r="P14" s="26">
        <f t="shared" si="2"/>
        <v>0</v>
      </c>
      <c r="Q14" s="26">
        <f t="shared" si="3"/>
        <v>0</v>
      </c>
      <c r="R14" s="26">
        <f t="shared" si="4"/>
        <v>0</v>
      </c>
      <c r="S14" s="26">
        <f t="shared" si="5"/>
        <v>0</v>
      </c>
      <c r="T14" s="26">
        <f t="shared" si="5"/>
        <v>0</v>
      </c>
      <c r="U14" s="42">
        <f t="shared" si="6"/>
        <v>0</v>
      </c>
    </row>
    <row r="15" spans="1:21" ht="19.95" customHeight="1" x14ac:dyDescent="0.3">
      <c r="A15" s="52"/>
      <c r="B15" s="24"/>
      <c r="C15" s="24">
        <v>64016</v>
      </c>
      <c r="D15" s="25" t="s">
        <v>48</v>
      </c>
      <c r="E15" s="43"/>
      <c r="F15" s="27"/>
      <c r="G15" s="27"/>
      <c r="H15" s="44"/>
      <c r="I15" s="49">
        <f>H15*Subsector!$S$11</f>
        <v>0</v>
      </c>
      <c r="J15" s="26">
        <f>H15*Subsector!$S$12</f>
        <v>0</v>
      </c>
      <c r="K15" s="26">
        <f>H15*Subsector!$S$13</f>
        <v>0</v>
      </c>
      <c r="L15" s="26">
        <f>H15*Subsector!$S$15</f>
        <v>0</v>
      </c>
      <c r="M15" s="26">
        <f>H15*Subsector!$S$16</f>
        <v>0</v>
      </c>
      <c r="N15" s="66">
        <f>H15*Subsector!$S$17</f>
        <v>0</v>
      </c>
      <c r="O15" s="41">
        <f t="shared" si="2"/>
        <v>0</v>
      </c>
      <c r="P15" s="26">
        <f t="shared" si="2"/>
        <v>0</v>
      </c>
      <c r="Q15" s="26">
        <f t="shared" si="3"/>
        <v>0</v>
      </c>
      <c r="R15" s="26">
        <f t="shared" si="4"/>
        <v>0</v>
      </c>
      <c r="S15" s="26">
        <f t="shared" si="5"/>
        <v>0</v>
      </c>
      <c r="T15" s="26">
        <f t="shared" si="5"/>
        <v>0</v>
      </c>
      <c r="U15" s="42">
        <f t="shared" si="6"/>
        <v>0</v>
      </c>
    </row>
    <row r="16" spans="1:21" ht="19.95" customHeight="1" x14ac:dyDescent="0.3">
      <c r="A16" s="52"/>
      <c r="B16" s="24"/>
      <c r="C16" s="24">
        <v>64017</v>
      </c>
      <c r="D16" s="25" t="s">
        <v>49</v>
      </c>
      <c r="E16" s="43"/>
      <c r="F16" s="27"/>
      <c r="G16" s="27"/>
      <c r="H16" s="44"/>
      <c r="I16" s="49">
        <f>H16*Subsector!$S$11</f>
        <v>0</v>
      </c>
      <c r="J16" s="26">
        <f>H16*Subsector!$S$12</f>
        <v>0</v>
      </c>
      <c r="K16" s="26">
        <f>H16*Subsector!$S$13</f>
        <v>0</v>
      </c>
      <c r="L16" s="26">
        <f>H16*Subsector!$S$15</f>
        <v>0</v>
      </c>
      <c r="M16" s="26">
        <f>H16*Subsector!$S$16</f>
        <v>0</v>
      </c>
      <c r="N16" s="66">
        <f>H16*Subsector!$S$17</f>
        <v>0</v>
      </c>
      <c r="O16" s="41">
        <f t="shared" si="2"/>
        <v>0</v>
      </c>
      <c r="P16" s="26">
        <f t="shared" si="2"/>
        <v>0</v>
      </c>
      <c r="Q16" s="26">
        <f t="shared" si="3"/>
        <v>0</v>
      </c>
      <c r="R16" s="26">
        <f t="shared" si="4"/>
        <v>0</v>
      </c>
      <c r="S16" s="26">
        <f t="shared" si="5"/>
        <v>0</v>
      </c>
      <c r="T16" s="26">
        <f t="shared" si="5"/>
        <v>0</v>
      </c>
      <c r="U16" s="42">
        <f t="shared" si="6"/>
        <v>0</v>
      </c>
    </row>
    <row r="17" spans="1:21" ht="19.95" customHeight="1" x14ac:dyDescent="0.3">
      <c r="A17" s="52"/>
      <c r="B17" s="24"/>
      <c r="C17" s="24">
        <v>64018</v>
      </c>
      <c r="D17" s="25" t="s">
        <v>50</v>
      </c>
      <c r="E17" s="43"/>
      <c r="F17" s="27"/>
      <c r="G17" s="27"/>
      <c r="H17" s="44"/>
      <c r="I17" s="49">
        <f>H17*Subsector!$S$11</f>
        <v>0</v>
      </c>
      <c r="J17" s="26">
        <f>H17*Subsector!$S$12</f>
        <v>0</v>
      </c>
      <c r="K17" s="26">
        <f>H17*Subsector!$S$13</f>
        <v>0</v>
      </c>
      <c r="L17" s="26">
        <f>H17*Subsector!$S$15</f>
        <v>0</v>
      </c>
      <c r="M17" s="26">
        <f>H17*Subsector!$S$16</f>
        <v>0</v>
      </c>
      <c r="N17" s="66">
        <f>H17*Subsector!$S$17</f>
        <v>0</v>
      </c>
      <c r="O17" s="41">
        <f t="shared" si="2"/>
        <v>0</v>
      </c>
      <c r="P17" s="26">
        <f t="shared" si="2"/>
        <v>0</v>
      </c>
      <c r="Q17" s="26">
        <f t="shared" si="3"/>
        <v>0</v>
      </c>
      <c r="R17" s="26">
        <f t="shared" si="4"/>
        <v>0</v>
      </c>
      <c r="S17" s="26">
        <f t="shared" si="5"/>
        <v>0</v>
      </c>
      <c r="T17" s="26">
        <f t="shared" si="5"/>
        <v>0</v>
      </c>
      <c r="U17" s="42">
        <f t="shared" si="6"/>
        <v>0</v>
      </c>
    </row>
    <row r="18" spans="1:21" ht="19.95" customHeight="1" x14ac:dyDescent="0.3">
      <c r="A18" s="51"/>
      <c r="B18" s="23">
        <v>6402</v>
      </c>
      <c r="C18" s="23"/>
      <c r="D18" s="21" t="s">
        <v>51</v>
      </c>
      <c r="E18" s="39">
        <f>SUM(E19:E26)</f>
        <v>0</v>
      </c>
      <c r="F18" s="22">
        <f t="shared" ref="F18:U18" si="7">SUM(F19:F26)</f>
        <v>0</v>
      </c>
      <c r="G18" s="22">
        <f t="shared" si="7"/>
        <v>0</v>
      </c>
      <c r="H18" s="40">
        <f t="shared" si="7"/>
        <v>0</v>
      </c>
      <c r="I18" s="36">
        <f t="shared" si="7"/>
        <v>0</v>
      </c>
      <c r="J18" s="22">
        <f t="shared" si="7"/>
        <v>0</v>
      </c>
      <c r="K18" s="22">
        <f t="shared" si="7"/>
        <v>0</v>
      </c>
      <c r="L18" s="22">
        <f t="shared" si="7"/>
        <v>0</v>
      </c>
      <c r="M18" s="22">
        <f t="shared" si="7"/>
        <v>0</v>
      </c>
      <c r="N18" s="65">
        <f t="shared" si="7"/>
        <v>0</v>
      </c>
      <c r="O18" s="39">
        <f t="shared" si="7"/>
        <v>0</v>
      </c>
      <c r="P18" s="22">
        <f t="shared" si="7"/>
        <v>0</v>
      </c>
      <c r="Q18" s="22">
        <f t="shared" si="7"/>
        <v>0</v>
      </c>
      <c r="R18" s="22">
        <f t="shared" si="7"/>
        <v>0</v>
      </c>
      <c r="S18" s="22">
        <f t="shared" si="7"/>
        <v>0</v>
      </c>
      <c r="T18" s="22">
        <f t="shared" si="7"/>
        <v>0</v>
      </c>
      <c r="U18" s="40">
        <f t="shared" si="7"/>
        <v>0</v>
      </c>
    </row>
    <row r="19" spans="1:21" ht="19.95" customHeight="1" x14ac:dyDescent="0.3">
      <c r="A19" s="52"/>
      <c r="B19" s="24"/>
      <c r="C19" s="24">
        <v>64021</v>
      </c>
      <c r="D19" s="25" t="s">
        <v>52</v>
      </c>
      <c r="E19" s="43"/>
      <c r="F19" s="27"/>
      <c r="G19" s="27"/>
      <c r="H19" s="44"/>
      <c r="I19" s="49">
        <f>H19*Subsector!$S$11</f>
        <v>0</v>
      </c>
      <c r="J19" s="26">
        <f>H19*Subsector!$S$12</f>
        <v>0</v>
      </c>
      <c r="K19" s="26">
        <f>H19*Subsector!$S$13</f>
        <v>0</v>
      </c>
      <c r="L19" s="26">
        <f>H19*Subsector!$S$15</f>
        <v>0</v>
      </c>
      <c r="M19" s="26">
        <f>H19*Subsector!$S$16</f>
        <v>0</v>
      </c>
      <c r="N19" s="66">
        <f>H19*Subsector!$S$17</f>
        <v>0</v>
      </c>
      <c r="O19" s="41">
        <f t="shared" ref="O19:P26" si="8">ROUNDUP(SUM(E19,I19),1)</f>
        <v>0</v>
      </c>
      <c r="P19" s="26">
        <f t="shared" si="8"/>
        <v>0</v>
      </c>
      <c r="Q19" s="26">
        <f t="shared" ref="Q19:Q26" si="9">ROUNDUP(SUM(K19),1)</f>
        <v>0</v>
      </c>
      <c r="R19" s="26">
        <f t="shared" ref="R19:R26" si="10">ROUNDUP(SUM(G19,L19),1)</f>
        <v>0</v>
      </c>
      <c r="S19" s="26">
        <f t="shared" ref="S19:T26" si="11">ROUNDUP(SUM(M19),1)</f>
        <v>0</v>
      </c>
      <c r="T19" s="26">
        <f t="shared" si="11"/>
        <v>0</v>
      </c>
      <c r="U19" s="42">
        <f t="shared" ref="U19:U26" si="12">SUM(O19:T19)</f>
        <v>0</v>
      </c>
    </row>
    <row r="20" spans="1:21" ht="19.95" customHeight="1" x14ac:dyDescent="0.3">
      <c r="A20" s="52"/>
      <c r="B20" s="24"/>
      <c r="C20" s="24">
        <v>64022</v>
      </c>
      <c r="D20" s="25" t="s">
        <v>53</v>
      </c>
      <c r="E20" s="43"/>
      <c r="F20" s="27"/>
      <c r="G20" s="27"/>
      <c r="H20" s="44"/>
      <c r="I20" s="49">
        <f>H20*Subsector!$S$11</f>
        <v>0</v>
      </c>
      <c r="J20" s="26">
        <f>H20*Subsector!$S$12</f>
        <v>0</v>
      </c>
      <c r="K20" s="26">
        <f>H20*Subsector!$S$13</f>
        <v>0</v>
      </c>
      <c r="L20" s="26">
        <f>H20*Subsector!$S$15</f>
        <v>0</v>
      </c>
      <c r="M20" s="26">
        <f>H20*Subsector!$S$16</f>
        <v>0</v>
      </c>
      <c r="N20" s="66">
        <f>H20*Subsector!$S$17</f>
        <v>0</v>
      </c>
      <c r="O20" s="41">
        <f t="shared" si="8"/>
        <v>0</v>
      </c>
      <c r="P20" s="26">
        <f t="shared" si="8"/>
        <v>0</v>
      </c>
      <c r="Q20" s="26">
        <f t="shared" si="9"/>
        <v>0</v>
      </c>
      <c r="R20" s="26">
        <f t="shared" si="10"/>
        <v>0</v>
      </c>
      <c r="S20" s="26">
        <f t="shared" si="11"/>
        <v>0</v>
      </c>
      <c r="T20" s="26">
        <f t="shared" si="11"/>
        <v>0</v>
      </c>
      <c r="U20" s="42">
        <f t="shared" si="12"/>
        <v>0</v>
      </c>
    </row>
    <row r="21" spans="1:21" ht="19.95" customHeight="1" x14ac:dyDescent="0.3">
      <c r="A21" s="52"/>
      <c r="B21" s="24"/>
      <c r="C21" s="24">
        <v>64023</v>
      </c>
      <c r="D21" s="25" t="s">
        <v>54</v>
      </c>
      <c r="E21" s="43"/>
      <c r="F21" s="27"/>
      <c r="G21" s="27"/>
      <c r="H21" s="44"/>
      <c r="I21" s="49">
        <f>H21*Subsector!$S$11</f>
        <v>0</v>
      </c>
      <c r="J21" s="26">
        <f>H21*Subsector!$S$12</f>
        <v>0</v>
      </c>
      <c r="K21" s="26">
        <f>H21*Subsector!$S$13</f>
        <v>0</v>
      </c>
      <c r="L21" s="26">
        <f>H21*Subsector!$S$15</f>
        <v>0</v>
      </c>
      <c r="M21" s="26">
        <f>H21*Subsector!$S$16</f>
        <v>0</v>
      </c>
      <c r="N21" s="66">
        <f>H21*Subsector!$S$17</f>
        <v>0</v>
      </c>
      <c r="O21" s="41">
        <f t="shared" si="8"/>
        <v>0</v>
      </c>
      <c r="P21" s="26">
        <f t="shared" si="8"/>
        <v>0</v>
      </c>
      <c r="Q21" s="26">
        <f t="shared" si="9"/>
        <v>0</v>
      </c>
      <c r="R21" s="26">
        <f t="shared" si="10"/>
        <v>0</v>
      </c>
      <c r="S21" s="26">
        <f t="shared" si="11"/>
        <v>0</v>
      </c>
      <c r="T21" s="26">
        <f t="shared" si="11"/>
        <v>0</v>
      </c>
      <c r="U21" s="42">
        <f t="shared" si="12"/>
        <v>0</v>
      </c>
    </row>
    <row r="22" spans="1:21" ht="19.95" customHeight="1" x14ac:dyDescent="0.3">
      <c r="A22" s="52"/>
      <c r="B22" s="24"/>
      <c r="C22" s="24">
        <v>64024</v>
      </c>
      <c r="D22" s="25" t="s">
        <v>55</v>
      </c>
      <c r="E22" s="43"/>
      <c r="F22" s="27"/>
      <c r="G22" s="27"/>
      <c r="H22" s="44"/>
      <c r="I22" s="49">
        <f>H22*Subsector!$S$11</f>
        <v>0</v>
      </c>
      <c r="J22" s="26">
        <f>H22*Subsector!$S$12</f>
        <v>0</v>
      </c>
      <c r="K22" s="26">
        <f>H22*Subsector!$S$13</f>
        <v>0</v>
      </c>
      <c r="L22" s="26">
        <f>H22*Subsector!$S$15</f>
        <v>0</v>
      </c>
      <c r="M22" s="26">
        <f>H22*Subsector!$S$16</f>
        <v>0</v>
      </c>
      <c r="N22" s="66">
        <f>H22*Subsector!$S$17</f>
        <v>0</v>
      </c>
      <c r="O22" s="41">
        <f t="shared" si="8"/>
        <v>0</v>
      </c>
      <c r="P22" s="26">
        <f t="shared" si="8"/>
        <v>0</v>
      </c>
      <c r="Q22" s="26">
        <f t="shared" si="9"/>
        <v>0</v>
      </c>
      <c r="R22" s="26">
        <f t="shared" si="10"/>
        <v>0</v>
      </c>
      <c r="S22" s="26">
        <f t="shared" si="11"/>
        <v>0</v>
      </c>
      <c r="T22" s="26">
        <f t="shared" si="11"/>
        <v>0</v>
      </c>
      <c r="U22" s="42">
        <f t="shared" si="12"/>
        <v>0</v>
      </c>
    </row>
    <row r="23" spans="1:21" ht="19.95" customHeight="1" x14ac:dyDescent="0.3">
      <c r="A23" s="52"/>
      <c r="B23" s="24"/>
      <c r="C23" s="24">
        <v>64025</v>
      </c>
      <c r="D23" s="25" t="s">
        <v>56</v>
      </c>
      <c r="E23" s="43"/>
      <c r="F23" s="27"/>
      <c r="G23" s="27"/>
      <c r="H23" s="44"/>
      <c r="I23" s="49">
        <f>H23*Subsector!$S$11</f>
        <v>0</v>
      </c>
      <c r="J23" s="26">
        <f>H23*Subsector!$S$12</f>
        <v>0</v>
      </c>
      <c r="K23" s="26">
        <f>H23*Subsector!$S$13</f>
        <v>0</v>
      </c>
      <c r="L23" s="26">
        <f>H23*Subsector!$S$15</f>
        <v>0</v>
      </c>
      <c r="M23" s="26">
        <f>H23*Subsector!$S$16</f>
        <v>0</v>
      </c>
      <c r="N23" s="66">
        <f>H23*Subsector!$S$17</f>
        <v>0</v>
      </c>
      <c r="O23" s="41">
        <f t="shared" si="8"/>
        <v>0</v>
      </c>
      <c r="P23" s="26">
        <f t="shared" si="8"/>
        <v>0</v>
      </c>
      <c r="Q23" s="26">
        <f t="shared" si="9"/>
        <v>0</v>
      </c>
      <c r="R23" s="26">
        <f t="shared" si="10"/>
        <v>0</v>
      </c>
      <c r="S23" s="26">
        <f t="shared" si="11"/>
        <v>0</v>
      </c>
      <c r="T23" s="26">
        <f t="shared" si="11"/>
        <v>0</v>
      </c>
      <c r="U23" s="42">
        <f t="shared" si="12"/>
        <v>0</v>
      </c>
    </row>
    <row r="24" spans="1:21" ht="19.95" customHeight="1" x14ac:dyDescent="0.3">
      <c r="A24" s="52"/>
      <c r="B24" s="24"/>
      <c r="C24" s="24">
        <v>64026</v>
      </c>
      <c r="D24" s="25" t="s">
        <v>57</v>
      </c>
      <c r="E24" s="43"/>
      <c r="F24" s="27"/>
      <c r="G24" s="27"/>
      <c r="H24" s="44"/>
      <c r="I24" s="49">
        <f>H24*Subsector!$S$11</f>
        <v>0</v>
      </c>
      <c r="J24" s="26">
        <f>H24*Subsector!$S$12</f>
        <v>0</v>
      </c>
      <c r="K24" s="26">
        <f>H24*Subsector!$S$13</f>
        <v>0</v>
      </c>
      <c r="L24" s="26">
        <f>H24*Subsector!$S$15</f>
        <v>0</v>
      </c>
      <c r="M24" s="26">
        <f>H24*Subsector!$S$16</f>
        <v>0</v>
      </c>
      <c r="N24" s="66">
        <f>H24*Subsector!$S$17</f>
        <v>0</v>
      </c>
      <c r="O24" s="41">
        <f t="shared" si="8"/>
        <v>0</v>
      </c>
      <c r="P24" s="26">
        <f t="shared" si="8"/>
        <v>0</v>
      </c>
      <c r="Q24" s="26">
        <f t="shared" si="9"/>
        <v>0</v>
      </c>
      <c r="R24" s="26">
        <f t="shared" si="10"/>
        <v>0</v>
      </c>
      <c r="S24" s="26">
        <f t="shared" si="11"/>
        <v>0</v>
      </c>
      <c r="T24" s="26">
        <f t="shared" si="11"/>
        <v>0</v>
      </c>
      <c r="U24" s="42">
        <f t="shared" si="12"/>
        <v>0</v>
      </c>
    </row>
    <row r="25" spans="1:21" ht="19.95" customHeight="1" x14ac:dyDescent="0.3">
      <c r="A25" s="52"/>
      <c r="B25" s="24"/>
      <c r="C25" s="24">
        <v>64027</v>
      </c>
      <c r="D25" s="25" t="s">
        <v>58</v>
      </c>
      <c r="E25" s="43"/>
      <c r="F25" s="27"/>
      <c r="G25" s="27"/>
      <c r="H25" s="44"/>
      <c r="I25" s="49">
        <f>H25*Subsector!$S$11</f>
        <v>0</v>
      </c>
      <c r="J25" s="26">
        <f>H25*Subsector!$S$12</f>
        <v>0</v>
      </c>
      <c r="K25" s="26">
        <f>H25*Subsector!$S$13</f>
        <v>0</v>
      </c>
      <c r="L25" s="26">
        <f>H25*Subsector!$S$15</f>
        <v>0</v>
      </c>
      <c r="M25" s="26">
        <f>H25*Subsector!$S$16</f>
        <v>0</v>
      </c>
      <c r="N25" s="66">
        <f>H25*Subsector!$S$17</f>
        <v>0</v>
      </c>
      <c r="O25" s="41">
        <f t="shared" si="8"/>
        <v>0</v>
      </c>
      <c r="P25" s="26">
        <f t="shared" si="8"/>
        <v>0</v>
      </c>
      <c r="Q25" s="26">
        <f t="shared" si="9"/>
        <v>0</v>
      </c>
      <c r="R25" s="26">
        <f t="shared" si="10"/>
        <v>0</v>
      </c>
      <c r="S25" s="26">
        <f t="shared" si="11"/>
        <v>0</v>
      </c>
      <c r="T25" s="26">
        <f t="shared" si="11"/>
        <v>0</v>
      </c>
      <c r="U25" s="42">
        <f t="shared" si="12"/>
        <v>0</v>
      </c>
    </row>
    <row r="26" spans="1:21" ht="19.95" customHeight="1" x14ac:dyDescent="0.3">
      <c r="A26" s="52"/>
      <c r="B26" s="24"/>
      <c r="C26" s="24">
        <v>64028</v>
      </c>
      <c r="D26" s="25" t="s">
        <v>59</v>
      </c>
      <c r="E26" s="43"/>
      <c r="F26" s="27"/>
      <c r="G26" s="27"/>
      <c r="H26" s="44"/>
      <c r="I26" s="49">
        <f>H26*Subsector!$S$11</f>
        <v>0</v>
      </c>
      <c r="J26" s="26">
        <f>H26*Subsector!$S$12</f>
        <v>0</v>
      </c>
      <c r="K26" s="26">
        <f>H26*Subsector!$S$13</f>
        <v>0</v>
      </c>
      <c r="L26" s="26">
        <f>H26*Subsector!$S$15</f>
        <v>0</v>
      </c>
      <c r="M26" s="26">
        <f>H26*Subsector!$S$16</f>
        <v>0</v>
      </c>
      <c r="N26" s="66">
        <f>H26*Subsector!$S$17</f>
        <v>0</v>
      </c>
      <c r="O26" s="41">
        <f t="shared" si="8"/>
        <v>0</v>
      </c>
      <c r="P26" s="26">
        <f t="shared" si="8"/>
        <v>0</v>
      </c>
      <c r="Q26" s="26">
        <f t="shared" si="9"/>
        <v>0</v>
      </c>
      <c r="R26" s="26">
        <f t="shared" si="10"/>
        <v>0</v>
      </c>
      <c r="S26" s="26">
        <f t="shared" si="11"/>
        <v>0</v>
      </c>
      <c r="T26" s="26">
        <f t="shared" si="11"/>
        <v>0</v>
      </c>
      <c r="U26" s="42">
        <f t="shared" si="12"/>
        <v>0</v>
      </c>
    </row>
    <row r="27" spans="1:21" ht="19.95" customHeight="1" x14ac:dyDescent="0.3">
      <c r="A27" s="51"/>
      <c r="B27" s="23">
        <v>6403</v>
      </c>
      <c r="C27" s="23"/>
      <c r="D27" s="21" t="s">
        <v>60</v>
      </c>
      <c r="E27" s="39">
        <f>SUM(E28:E32)</f>
        <v>0</v>
      </c>
      <c r="F27" s="22">
        <f t="shared" ref="F27:U27" si="13">SUM(F28:F32)</f>
        <v>0</v>
      </c>
      <c r="G27" s="22">
        <f t="shared" si="13"/>
        <v>0</v>
      </c>
      <c r="H27" s="40">
        <f t="shared" si="13"/>
        <v>0</v>
      </c>
      <c r="I27" s="36">
        <f t="shared" si="13"/>
        <v>0</v>
      </c>
      <c r="J27" s="22">
        <f t="shared" si="13"/>
        <v>0</v>
      </c>
      <c r="K27" s="22">
        <f t="shared" si="13"/>
        <v>0</v>
      </c>
      <c r="L27" s="22">
        <f t="shared" si="13"/>
        <v>0</v>
      </c>
      <c r="M27" s="22">
        <f t="shared" si="13"/>
        <v>0</v>
      </c>
      <c r="N27" s="65">
        <f t="shared" si="13"/>
        <v>0</v>
      </c>
      <c r="O27" s="39">
        <f t="shared" si="13"/>
        <v>0</v>
      </c>
      <c r="P27" s="22">
        <f t="shared" si="13"/>
        <v>0</v>
      </c>
      <c r="Q27" s="22">
        <f t="shared" si="13"/>
        <v>0</v>
      </c>
      <c r="R27" s="22">
        <f t="shared" si="13"/>
        <v>0</v>
      </c>
      <c r="S27" s="22">
        <f t="shared" si="13"/>
        <v>0</v>
      </c>
      <c r="T27" s="22">
        <f t="shared" si="13"/>
        <v>0</v>
      </c>
      <c r="U27" s="40">
        <f t="shared" si="13"/>
        <v>0</v>
      </c>
    </row>
    <row r="28" spans="1:21" ht="19.95" customHeight="1" x14ac:dyDescent="0.3">
      <c r="A28" s="52"/>
      <c r="B28" s="24"/>
      <c r="C28" s="24">
        <v>64033</v>
      </c>
      <c r="D28" s="25" t="s">
        <v>61</v>
      </c>
      <c r="E28" s="43"/>
      <c r="F28" s="27"/>
      <c r="G28" s="27"/>
      <c r="H28" s="44"/>
      <c r="I28" s="49">
        <f>H28*Subsector!$S$11</f>
        <v>0</v>
      </c>
      <c r="J28" s="26">
        <f>H28*Subsector!$S$12</f>
        <v>0</v>
      </c>
      <c r="K28" s="26">
        <f>H28*Subsector!$S$13</f>
        <v>0</v>
      </c>
      <c r="L28" s="26">
        <f>H28*Subsector!$S$15</f>
        <v>0</v>
      </c>
      <c r="M28" s="26">
        <f>H28*Subsector!$S$16</f>
        <v>0</v>
      </c>
      <c r="N28" s="66">
        <f>H28*Subsector!$S$17</f>
        <v>0</v>
      </c>
      <c r="O28" s="41">
        <f t="shared" ref="O28:P32" si="14">ROUNDUP(SUM(E28,I28),1)</f>
        <v>0</v>
      </c>
      <c r="P28" s="26">
        <f t="shared" si="14"/>
        <v>0</v>
      </c>
      <c r="Q28" s="26">
        <f>ROUNDUP(SUM(K28),1)</f>
        <v>0</v>
      </c>
      <c r="R28" s="26">
        <f>ROUNDUP(SUM(G28,L28),1)</f>
        <v>0</v>
      </c>
      <c r="S28" s="26">
        <f t="shared" ref="S28:T32" si="15">ROUNDUP(SUM(M28),1)</f>
        <v>0</v>
      </c>
      <c r="T28" s="26">
        <f t="shared" si="15"/>
        <v>0</v>
      </c>
      <c r="U28" s="42">
        <f>SUM(O28:T28)</f>
        <v>0</v>
      </c>
    </row>
    <row r="29" spans="1:21" ht="19.95" customHeight="1" x14ac:dyDescent="0.3">
      <c r="A29" s="52"/>
      <c r="B29" s="24"/>
      <c r="C29" s="24">
        <v>64034</v>
      </c>
      <c r="D29" s="25" t="s">
        <v>62</v>
      </c>
      <c r="E29" s="43"/>
      <c r="F29" s="27"/>
      <c r="G29" s="27"/>
      <c r="H29" s="44"/>
      <c r="I29" s="49">
        <f>H29*Subsector!$S$11</f>
        <v>0</v>
      </c>
      <c r="J29" s="26">
        <f>H29*Subsector!$S$12</f>
        <v>0</v>
      </c>
      <c r="K29" s="26">
        <f>H29*Subsector!$S$13</f>
        <v>0</v>
      </c>
      <c r="L29" s="26">
        <f>H29*Subsector!$S$15</f>
        <v>0</v>
      </c>
      <c r="M29" s="26">
        <f>H29*Subsector!$S$16</f>
        <v>0</v>
      </c>
      <c r="N29" s="66">
        <f>H29*Subsector!$S$17</f>
        <v>0</v>
      </c>
      <c r="O29" s="41">
        <f t="shared" si="14"/>
        <v>0</v>
      </c>
      <c r="P29" s="26">
        <f t="shared" si="14"/>
        <v>0</v>
      </c>
      <c r="Q29" s="26">
        <f>ROUNDUP(SUM(K29),1)</f>
        <v>0</v>
      </c>
      <c r="R29" s="26">
        <f>ROUNDUP(SUM(G29,L29),1)</f>
        <v>0</v>
      </c>
      <c r="S29" s="26">
        <f t="shared" si="15"/>
        <v>0</v>
      </c>
      <c r="T29" s="26">
        <f t="shared" si="15"/>
        <v>0</v>
      </c>
      <c r="U29" s="42">
        <f>SUM(O29:T29)</f>
        <v>0</v>
      </c>
    </row>
    <row r="30" spans="1:21" ht="19.95" customHeight="1" x14ac:dyDescent="0.3">
      <c r="A30" s="52"/>
      <c r="B30" s="24"/>
      <c r="C30" s="24">
        <v>64035</v>
      </c>
      <c r="D30" s="25" t="s">
        <v>63</v>
      </c>
      <c r="E30" s="43"/>
      <c r="F30" s="27"/>
      <c r="G30" s="27"/>
      <c r="H30" s="44"/>
      <c r="I30" s="49">
        <f>H30*Subsector!$S$11</f>
        <v>0</v>
      </c>
      <c r="J30" s="26">
        <f>H30*Subsector!$S$12</f>
        <v>0</v>
      </c>
      <c r="K30" s="26">
        <f>H30*Subsector!$S$13</f>
        <v>0</v>
      </c>
      <c r="L30" s="26">
        <f>H30*Subsector!$S$15</f>
        <v>0</v>
      </c>
      <c r="M30" s="26">
        <f>H30*Subsector!$S$16</f>
        <v>0</v>
      </c>
      <c r="N30" s="66">
        <f>H30*Subsector!$S$17</f>
        <v>0</v>
      </c>
      <c r="O30" s="41">
        <f t="shared" si="14"/>
        <v>0</v>
      </c>
      <c r="P30" s="26">
        <f t="shared" si="14"/>
        <v>0</v>
      </c>
      <c r="Q30" s="26">
        <f>ROUNDUP(SUM(K30),1)</f>
        <v>0</v>
      </c>
      <c r="R30" s="26">
        <f>ROUNDUP(SUM(G30,L30),1)</f>
        <v>0</v>
      </c>
      <c r="S30" s="26">
        <f t="shared" si="15"/>
        <v>0</v>
      </c>
      <c r="T30" s="26">
        <f t="shared" si="15"/>
        <v>0</v>
      </c>
      <c r="U30" s="42">
        <f>SUM(O30:T30)</f>
        <v>0</v>
      </c>
    </row>
    <row r="31" spans="1:21" ht="19.95" customHeight="1" x14ac:dyDescent="0.3">
      <c r="A31" s="52"/>
      <c r="B31" s="24"/>
      <c r="C31" s="24">
        <v>64037</v>
      </c>
      <c r="D31" s="25" t="s">
        <v>64</v>
      </c>
      <c r="E31" s="43"/>
      <c r="F31" s="27"/>
      <c r="G31" s="27"/>
      <c r="H31" s="44"/>
      <c r="I31" s="49">
        <f>H31*Subsector!$S$11</f>
        <v>0</v>
      </c>
      <c r="J31" s="26">
        <f>H31*Subsector!$S$12</f>
        <v>0</v>
      </c>
      <c r="K31" s="26">
        <f>H31*Subsector!$S$13</f>
        <v>0</v>
      </c>
      <c r="L31" s="26">
        <f>H31*Subsector!$S$15</f>
        <v>0</v>
      </c>
      <c r="M31" s="26">
        <f>H31*Subsector!$S$16</f>
        <v>0</v>
      </c>
      <c r="N31" s="66">
        <f>H31*Subsector!$S$17</f>
        <v>0</v>
      </c>
      <c r="O31" s="41">
        <f t="shared" si="14"/>
        <v>0</v>
      </c>
      <c r="P31" s="26">
        <f t="shared" si="14"/>
        <v>0</v>
      </c>
      <c r="Q31" s="26">
        <f>ROUNDUP(SUM(K31),1)</f>
        <v>0</v>
      </c>
      <c r="R31" s="26">
        <f>ROUNDUP(SUM(G31,L31),1)</f>
        <v>0</v>
      </c>
      <c r="S31" s="26">
        <f t="shared" si="15"/>
        <v>0</v>
      </c>
      <c r="T31" s="26">
        <f t="shared" si="15"/>
        <v>0</v>
      </c>
      <c r="U31" s="42">
        <f>SUM(O31:T31)</f>
        <v>0</v>
      </c>
    </row>
    <row r="32" spans="1:21" ht="19.95" customHeight="1" x14ac:dyDescent="0.3">
      <c r="A32" s="52"/>
      <c r="B32" s="24"/>
      <c r="C32" s="24">
        <v>64038</v>
      </c>
      <c r="D32" s="25" t="s">
        <v>60</v>
      </c>
      <c r="E32" s="43"/>
      <c r="F32" s="27"/>
      <c r="G32" s="27"/>
      <c r="H32" s="44"/>
      <c r="I32" s="49">
        <f>H32*Subsector!$S$11</f>
        <v>0</v>
      </c>
      <c r="J32" s="26">
        <f>H32*Subsector!$S$12</f>
        <v>0</v>
      </c>
      <c r="K32" s="26">
        <f>H32*Subsector!$S$13</f>
        <v>0</v>
      </c>
      <c r="L32" s="26">
        <f>H32*Subsector!$S$15</f>
        <v>0</v>
      </c>
      <c r="M32" s="26">
        <f>H32*Subsector!$S$16</f>
        <v>0</v>
      </c>
      <c r="N32" s="66">
        <f>H32*Subsector!$S$17</f>
        <v>0</v>
      </c>
      <c r="O32" s="41">
        <f t="shared" si="14"/>
        <v>0</v>
      </c>
      <c r="P32" s="26">
        <f t="shared" si="14"/>
        <v>0</v>
      </c>
      <c r="Q32" s="26">
        <f>ROUNDUP(SUM(K32),1)</f>
        <v>0</v>
      </c>
      <c r="R32" s="26">
        <f>ROUNDUP(SUM(G32,L32),1)</f>
        <v>0</v>
      </c>
      <c r="S32" s="26">
        <f t="shared" si="15"/>
        <v>0</v>
      </c>
      <c r="T32" s="26">
        <f t="shared" si="15"/>
        <v>0</v>
      </c>
      <c r="U32" s="42">
        <f>SUM(O32:T32)</f>
        <v>0</v>
      </c>
    </row>
    <row r="33" spans="1:21" ht="19.95" customHeight="1" x14ac:dyDescent="0.3">
      <c r="A33" s="51"/>
      <c r="B33" s="23">
        <v>6404</v>
      </c>
      <c r="C33" s="23"/>
      <c r="D33" s="21" t="s">
        <v>65</v>
      </c>
      <c r="E33" s="39">
        <f>SUM(E34:E36)</f>
        <v>0</v>
      </c>
      <c r="F33" s="22">
        <f t="shared" ref="F33:U33" si="16">SUM(F34:F36)</f>
        <v>0</v>
      </c>
      <c r="G33" s="22">
        <f t="shared" si="16"/>
        <v>0</v>
      </c>
      <c r="H33" s="40">
        <f t="shared" si="16"/>
        <v>0</v>
      </c>
      <c r="I33" s="36">
        <f t="shared" si="16"/>
        <v>0</v>
      </c>
      <c r="J33" s="22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65">
        <f t="shared" si="16"/>
        <v>0</v>
      </c>
      <c r="O33" s="39">
        <f t="shared" si="16"/>
        <v>0</v>
      </c>
      <c r="P33" s="22">
        <f t="shared" si="16"/>
        <v>0</v>
      </c>
      <c r="Q33" s="22">
        <f t="shared" si="16"/>
        <v>0</v>
      </c>
      <c r="R33" s="22">
        <f t="shared" si="16"/>
        <v>0</v>
      </c>
      <c r="S33" s="22">
        <f t="shared" si="16"/>
        <v>0</v>
      </c>
      <c r="T33" s="22">
        <f t="shared" si="16"/>
        <v>0</v>
      </c>
      <c r="U33" s="40">
        <f t="shared" si="16"/>
        <v>0</v>
      </c>
    </row>
    <row r="34" spans="1:21" ht="19.95" customHeight="1" x14ac:dyDescent="0.3">
      <c r="A34" s="52"/>
      <c r="B34" s="24"/>
      <c r="C34" s="24">
        <v>64041</v>
      </c>
      <c r="D34" s="25" t="s">
        <v>66</v>
      </c>
      <c r="E34" s="43"/>
      <c r="F34" s="27"/>
      <c r="G34" s="27"/>
      <c r="H34" s="44"/>
      <c r="I34" s="49">
        <f>H34*Subsector!$S$11</f>
        <v>0</v>
      </c>
      <c r="J34" s="26">
        <f>H34*Subsector!$S$12</f>
        <v>0</v>
      </c>
      <c r="K34" s="26">
        <f>H34*Subsector!$S$13</f>
        <v>0</v>
      </c>
      <c r="L34" s="26">
        <f>H34*Subsector!$S$15</f>
        <v>0</v>
      </c>
      <c r="M34" s="26">
        <f>H34*Subsector!$S$16</f>
        <v>0</v>
      </c>
      <c r="N34" s="66">
        <f>H34*Subsector!$S$17</f>
        <v>0</v>
      </c>
      <c r="O34" s="41">
        <f t="shared" ref="O34:P36" si="17">ROUNDUP(SUM(E34,I34),1)</f>
        <v>0</v>
      </c>
      <c r="P34" s="26">
        <f t="shared" si="17"/>
        <v>0</v>
      </c>
      <c r="Q34" s="26">
        <f>ROUNDUP(SUM(K34),1)</f>
        <v>0</v>
      </c>
      <c r="R34" s="26">
        <f>ROUNDUP(SUM(G34,L34),1)</f>
        <v>0</v>
      </c>
      <c r="S34" s="26">
        <f t="shared" ref="S34:T36" si="18">ROUNDUP(SUM(M34),1)</f>
        <v>0</v>
      </c>
      <c r="T34" s="26">
        <f t="shared" si="18"/>
        <v>0</v>
      </c>
      <c r="U34" s="42">
        <f>SUM(O34:T34)</f>
        <v>0</v>
      </c>
    </row>
    <row r="35" spans="1:21" ht="19.95" customHeight="1" x14ac:dyDescent="0.3">
      <c r="A35" s="52"/>
      <c r="B35" s="24"/>
      <c r="C35" s="24">
        <v>64042</v>
      </c>
      <c r="D35" s="25" t="s">
        <v>67</v>
      </c>
      <c r="E35" s="43"/>
      <c r="F35" s="27"/>
      <c r="G35" s="27"/>
      <c r="H35" s="44"/>
      <c r="I35" s="49">
        <f>H35*Subsector!$S$11</f>
        <v>0</v>
      </c>
      <c r="J35" s="26">
        <f>H35*Subsector!$S$12</f>
        <v>0</v>
      </c>
      <c r="K35" s="26">
        <f>H35*Subsector!$S$13</f>
        <v>0</v>
      </c>
      <c r="L35" s="26">
        <f>H35*Subsector!$S$15</f>
        <v>0</v>
      </c>
      <c r="M35" s="26">
        <f>H35*Subsector!$S$16</f>
        <v>0</v>
      </c>
      <c r="N35" s="66">
        <f>H35*Subsector!$S$17</f>
        <v>0</v>
      </c>
      <c r="O35" s="41">
        <f t="shared" si="17"/>
        <v>0</v>
      </c>
      <c r="P35" s="26">
        <f t="shared" si="17"/>
        <v>0</v>
      </c>
      <c r="Q35" s="26">
        <f>ROUNDUP(SUM(K35),1)</f>
        <v>0</v>
      </c>
      <c r="R35" s="26">
        <f>ROUNDUP(SUM(G35,L35),1)</f>
        <v>0</v>
      </c>
      <c r="S35" s="26">
        <f t="shared" si="18"/>
        <v>0</v>
      </c>
      <c r="T35" s="26">
        <f t="shared" si="18"/>
        <v>0</v>
      </c>
      <c r="U35" s="42">
        <f>SUM(O35:T35)</f>
        <v>0</v>
      </c>
    </row>
    <row r="36" spans="1:21" ht="19.95" customHeight="1" x14ac:dyDescent="0.3">
      <c r="A36" s="53"/>
      <c r="B36" s="23"/>
      <c r="C36" s="24">
        <v>64048</v>
      </c>
      <c r="D36" s="25" t="s">
        <v>68</v>
      </c>
      <c r="E36" s="43"/>
      <c r="F36" s="27"/>
      <c r="G36" s="27"/>
      <c r="H36" s="44"/>
      <c r="I36" s="49">
        <f>H36*Subsector!$S$11</f>
        <v>0</v>
      </c>
      <c r="J36" s="26">
        <f>H36*Subsector!$S$12</f>
        <v>0</v>
      </c>
      <c r="K36" s="26">
        <f>H36*Subsector!$S$13</f>
        <v>0</v>
      </c>
      <c r="L36" s="26">
        <f>H36*Subsector!$S$15</f>
        <v>0</v>
      </c>
      <c r="M36" s="26">
        <f>H36*Subsector!$S$16</f>
        <v>0</v>
      </c>
      <c r="N36" s="66">
        <f>H36*Subsector!$S$17</f>
        <v>0</v>
      </c>
      <c r="O36" s="41">
        <f t="shared" si="17"/>
        <v>0</v>
      </c>
      <c r="P36" s="26">
        <f t="shared" si="17"/>
        <v>0</v>
      </c>
      <c r="Q36" s="26">
        <f>ROUNDUP(SUM(K36),1)</f>
        <v>0</v>
      </c>
      <c r="R36" s="26">
        <f>ROUNDUP(SUM(G36,L36),1)</f>
        <v>0</v>
      </c>
      <c r="S36" s="26">
        <f t="shared" si="18"/>
        <v>0</v>
      </c>
      <c r="T36" s="26">
        <f t="shared" si="18"/>
        <v>0</v>
      </c>
      <c r="U36" s="42">
        <f>SUM(O36:T36)</f>
        <v>0</v>
      </c>
    </row>
    <row r="37" spans="1:21" ht="19.95" customHeight="1" x14ac:dyDescent="0.3">
      <c r="A37" s="54"/>
      <c r="B37" s="23">
        <v>6405</v>
      </c>
      <c r="C37" s="23"/>
      <c r="D37" s="21" t="s">
        <v>69</v>
      </c>
      <c r="E37" s="39">
        <f>SUM(E38:E44)</f>
        <v>0</v>
      </c>
      <c r="F37" s="22">
        <f t="shared" ref="F37:U37" si="19">SUM(F38:F44)</f>
        <v>0</v>
      </c>
      <c r="G37" s="22">
        <f t="shared" si="19"/>
        <v>0</v>
      </c>
      <c r="H37" s="40">
        <f t="shared" si="19"/>
        <v>0</v>
      </c>
      <c r="I37" s="36">
        <f t="shared" si="19"/>
        <v>0</v>
      </c>
      <c r="J37" s="22">
        <f t="shared" si="19"/>
        <v>0</v>
      </c>
      <c r="K37" s="22">
        <f t="shared" si="19"/>
        <v>0</v>
      </c>
      <c r="L37" s="22">
        <f t="shared" si="19"/>
        <v>0</v>
      </c>
      <c r="M37" s="22">
        <f t="shared" si="19"/>
        <v>0</v>
      </c>
      <c r="N37" s="65">
        <f t="shared" si="19"/>
        <v>0</v>
      </c>
      <c r="O37" s="39">
        <f t="shared" si="19"/>
        <v>0</v>
      </c>
      <c r="P37" s="22">
        <f t="shared" si="19"/>
        <v>0</v>
      </c>
      <c r="Q37" s="22">
        <f t="shared" si="19"/>
        <v>0</v>
      </c>
      <c r="R37" s="22">
        <f t="shared" si="19"/>
        <v>0</v>
      </c>
      <c r="S37" s="22">
        <f t="shared" si="19"/>
        <v>0</v>
      </c>
      <c r="T37" s="22">
        <f t="shared" si="19"/>
        <v>0</v>
      </c>
      <c r="U37" s="40">
        <f t="shared" si="19"/>
        <v>0</v>
      </c>
    </row>
    <row r="38" spans="1:21" ht="19.95" customHeight="1" x14ac:dyDescent="0.3">
      <c r="A38" s="55"/>
      <c r="B38" s="23"/>
      <c r="C38" s="24">
        <v>64051</v>
      </c>
      <c r="D38" s="25" t="s">
        <v>70</v>
      </c>
      <c r="E38" s="43"/>
      <c r="F38" s="27"/>
      <c r="G38" s="27"/>
      <c r="H38" s="44"/>
      <c r="I38" s="49">
        <f>H38*Subsector!$S$11</f>
        <v>0</v>
      </c>
      <c r="J38" s="26">
        <f>H38*Subsector!$S$12</f>
        <v>0</v>
      </c>
      <c r="K38" s="26">
        <f>H38*Subsector!$S$13</f>
        <v>0</v>
      </c>
      <c r="L38" s="26">
        <f>H38*Subsector!$S$15</f>
        <v>0</v>
      </c>
      <c r="M38" s="26">
        <f>H38*Subsector!$S$16</f>
        <v>0</v>
      </c>
      <c r="N38" s="66">
        <f>H38*Subsector!$S$17</f>
        <v>0</v>
      </c>
      <c r="O38" s="41">
        <f t="shared" ref="O38:P44" si="20">ROUNDUP(SUM(E38,I38),1)</f>
        <v>0</v>
      </c>
      <c r="P38" s="26">
        <f t="shared" si="20"/>
        <v>0</v>
      </c>
      <c r="Q38" s="26">
        <f t="shared" ref="Q38:Q44" si="21">ROUNDUP(SUM(K38),1)</f>
        <v>0</v>
      </c>
      <c r="R38" s="26">
        <f t="shared" ref="R38:R44" si="22">ROUNDUP(SUM(G38,L38),1)</f>
        <v>0</v>
      </c>
      <c r="S38" s="26">
        <f t="shared" ref="S38:T44" si="23">ROUNDUP(SUM(M38),1)</f>
        <v>0</v>
      </c>
      <c r="T38" s="26">
        <f t="shared" si="23"/>
        <v>0</v>
      </c>
      <c r="U38" s="42">
        <f t="shared" ref="U38:U44" si="24">SUM(O38:T38)</f>
        <v>0</v>
      </c>
    </row>
    <row r="39" spans="1:21" ht="19.95" customHeight="1" x14ac:dyDescent="0.3">
      <c r="A39" s="55"/>
      <c r="B39" s="24"/>
      <c r="C39" s="24">
        <v>64052</v>
      </c>
      <c r="D39" s="25" t="s">
        <v>71</v>
      </c>
      <c r="E39" s="43"/>
      <c r="F39" s="27"/>
      <c r="G39" s="27"/>
      <c r="H39" s="44"/>
      <c r="I39" s="49">
        <f>H39*Subsector!$S$11</f>
        <v>0</v>
      </c>
      <c r="J39" s="26">
        <f>H39*Subsector!$S$12</f>
        <v>0</v>
      </c>
      <c r="K39" s="26">
        <f>H39*Subsector!$S$13</f>
        <v>0</v>
      </c>
      <c r="L39" s="26">
        <f>H39*Subsector!$S$15</f>
        <v>0</v>
      </c>
      <c r="M39" s="26">
        <f>H39*Subsector!$S$16</f>
        <v>0</v>
      </c>
      <c r="N39" s="66">
        <f>H39*Subsector!$S$17</f>
        <v>0</v>
      </c>
      <c r="O39" s="41">
        <f t="shared" si="20"/>
        <v>0</v>
      </c>
      <c r="P39" s="26">
        <f t="shared" si="20"/>
        <v>0</v>
      </c>
      <c r="Q39" s="26">
        <f t="shared" si="21"/>
        <v>0</v>
      </c>
      <c r="R39" s="26">
        <f t="shared" si="22"/>
        <v>0</v>
      </c>
      <c r="S39" s="26">
        <f t="shared" si="23"/>
        <v>0</v>
      </c>
      <c r="T39" s="26">
        <f t="shared" si="23"/>
        <v>0</v>
      </c>
      <c r="U39" s="42">
        <f t="shared" si="24"/>
        <v>0</v>
      </c>
    </row>
    <row r="40" spans="1:21" ht="19.95" customHeight="1" x14ac:dyDescent="0.3">
      <c r="A40" s="55"/>
      <c r="B40" s="24"/>
      <c r="C40" s="24">
        <v>64053</v>
      </c>
      <c r="D40" s="25" t="s">
        <v>72</v>
      </c>
      <c r="E40" s="43"/>
      <c r="F40" s="27"/>
      <c r="G40" s="27"/>
      <c r="H40" s="44"/>
      <c r="I40" s="49">
        <f>H40*Subsector!$S$11</f>
        <v>0</v>
      </c>
      <c r="J40" s="26">
        <f>H40*Subsector!$S$12</f>
        <v>0</v>
      </c>
      <c r="K40" s="26">
        <f>H40*Subsector!$S$13</f>
        <v>0</v>
      </c>
      <c r="L40" s="26">
        <f>H40*Subsector!$S$15</f>
        <v>0</v>
      </c>
      <c r="M40" s="26">
        <f>H40*Subsector!$S$16</f>
        <v>0</v>
      </c>
      <c r="N40" s="66">
        <f>H40*Subsector!$S$17</f>
        <v>0</v>
      </c>
      <c r="O40" s="41">
        <f t="shared" si="20"/>
        <v>0</v>
      </c>
      <c r="P40" s="26">
        <f t="shared" si="20"/>
        <v>0</v>
      </c>
      <c r="Q40" s="26">
        <f t="shared" si="21"/>
        <v>0</v>
      </c>
      <c r="R40" s="26">
        <f t="shared" si="22"/>
        <v>0</v>
      </c>
      <c r="S40" s="26">
        <f t="shared" si="23"/>
        <v>0</v>
      </c>
      <c r="T40" s="26">
        <f t="shared" si="23"/>
        <v>0</v>
      </c>
      <c r="U40" s="42">
        <f t="shared" si="24"/>
        <v>0</v>
      </c>
    </row>
    <row r="41" spans="1:21" ht="19.95" customHeight="1" x14ac:dyDescent="0.3">
      <c r="A41" s="55"/>
      <c r="B41" s="24"/>
      <c r="C41" s="24">
        <v>64054</v>
      </c>
      <c r="D41" s="25" t="s">
        <v>73</v>
      </c>
      <c r="E41" s="43"/>
      <c r="F41" s="27"/>
      <c r="G41" s="27"/>
      <c r="H41" s="44"/>
      <c r="I41" s="49">
        <f>H41*Subsector!$S$11</f>
        <v>0</v>
      </c>
      <c r="J41" s="26">
        <f>H41*Subsector!$S$12</f>
        <v>0</v>
      </c>
      <c r="K41" s="26">
        <f>H41*Subsector!$S$13</f>
        <v>0</v>
      </c>
      <c r="L41" s="26">
        <f>H41*Subsector!$S$15</f>
        <v>0</v>
      </c>
      <c r="M41" s="26">
        <f>H41*Subsector!$S$16</f>
        <v>0</v>
      </c>
      <c r="N41" s="66">
        <f>H41*Subsector!$S$17</f>
        <v>0</v>
      </c>
      <c r="O41" s="41">
        <f t="shared" si="20"/>
        <v>0</v>
      </c>
      <c r="P41" s="26">
        <f t="shared" si="20"/>
        <v>0</v>
      </c>
      <c r="Q41" s="26">
        <f t="shared" si="21"/>
        <v>0</v>
      </c>
      <c r="R41" s="26">
        <f t="shared" si="22"/>
        <v>0</v>
      </c>
      <c r="S41" s="26">
        <f t="shared" si="23"/>
        <v>0</v>
      </c>
      <c r="T41" s="26">
        <f t="shared" si="23"/>
        <v>0</v>
      </c>
      <c r="U41" s="42">
        <f t="shared" si="24"/>
        <v>0</v>
      </c>
    </row>
    <row r="42" spans="1:21" ht="19.95" customHeight="1" x14ac:dyDescent="0.3">
      <c r="A42" s="55"/>
      <c r="B42" s="24"/>
      <c r="C42" s="24">
        <v>64055</v>
      </c>
      <c r="D42" s="25" t="s">
        <v>74</v>
      </c>
      <c r="E42" s="43"/>
      <c r="F42" s="27"/>
      <c r="G42" s="27"/>
      <c r="H42" s="44"/>
      <c r="I42" s="49">
        <f>H42*Subsector!$S$11</f>
        <v>0</v>
      </c>
      <c r="J42" s="26">
        <f>H42*Subsector!$S$12</f>
        <v>0</v>
      </c>
      <c r="K42" s="26">
        <f>H42*Subsector!$S$13</f>
        <v>0</v>
      </c>
      <c r="L42" s="26">
        <f>H42*Subsector!$S$15</f>
        <v>0</v>
      </c>
      <c r="M42" s="26">
        <f>H42*Subsector!$S$16</f>
        <v>0</v>
      </c>
      <c r="N42" s="66">
        <f>H42*Subsector!$S$17</f>
        <v>0</v>
      </c>
      <c r="O42" s="41">
        <f t="shared" si="20"/>
        <v>0</v>
      </c>
      <c r="P42" s="26">
        <f t="shared" si="20"/>
        <v>0</v>
      </c>
      <c r="Q42" s="26">
        <f t="shared" si="21"/>
        <v>0</v>
      </c>
      <c r="R42" s="26">
        <f t="shared" si="22"/>
        <v>0</v>
      </c>
      <c r="S42" s="26">
        <f t="shared" si="23"/>
        <v>0</v>
      </c>
      <c r="T42" s="26">
        <f t="shared" si="23"/>
        <v>0</v>
      </c>
      <c r="U42" s="42">
        <f t="shared" si="24"/>
        <v>0</v>
      </c>
    </row>
    <row r="43" spans="1:21" ht="19.95" customHeight="1" x14ac:dyDescent="0.3">
      <c r="A43" s="55"/>
      <c r="B43" s="24"/>
      <c r="C43" s="24">
        <v>64056</v>
      </c>
      <c r="D43" s="25" t="s">
        <v>75</v>
      </c>
      <c r="E43" s="43"/>
      <c r="F43" s="27"/>
      <c r="G43" s="27"/>
      <c r="H43" s="44"/>
      <c r="I43" s="49">
        <f>H43*Subsector!$S$11</f>
        <v>0</v>
      </c>
      <c r="J43" s="26">
        <f>H43*Subsector!$S$12</f>
        <v>0</v>
      </c>
      <c r="K43" s="26">
        <f>H43*Subsector!$S$13</f>
        <v>0</v>
      </c>
      <c r="L43" s="26">
        <f>H43*Subsector!$S$15</f>
        <v>0</v>
      </c>
      <c r="M43" s="26">
        <f>H43*Subsector!$S$16</f>
        <v>0</v>
      </c>
      <c r="N43" s="66">
        <f>H43*Subsector!$S$17</f>
        <v>0</v>
      </c>
      <c r="O43" s="41">
        <f t="shared" si="20"/>
        <v>0</v>
      </c>
      <c r="P43" s="26">
        <f t="shared" si="20"/>
        <v>0</v>
      </c>
      <c r="Q43" s="26">
        <f t="shared" si="21"/>
        <v>0</v>
      </c>
      <c r="R43" s="26">
        <f t="shared" si="22"/>
        <v>0</v>
      </c>
      <c r="S43" s="26">
        <f t="shared" si="23"/>
        <v>0</v>
      </c>
      <c r="T43" s="26">
        <f t="shared" si="23"/>
        <v>0</v>
      </c>
      <c r="U43" s="42">
        <f t="shared" si="24"/>
        <v>0</v>
      </c>
    </row>
    <row r="44" spans="1:21" ht="19.95" customHeight="1" x14ac:dyDescent="0.3">
      <c r="A44" s="55"/>
      <c r="B44" s="24"/>
      <c r="C44" s="24">
        <v>64058</v>
      </c>
      <c r="D44" s="25" t="s">
        <v>76</v>
      </c>
      <c r="E44" s="43"/>
      <c r="F44" s="27"/>
      <c r="G44" s="27"/>
      <c r="H44" s="44"/>
      <c r="I44" s="49">
        <f>H44*Subsector!$S$11</f>
        <v>0</v>
      </c>
      <c r="J44" s="26">
        <f>H44*Subsector!$S$12</f>
        <v>0</v>
      </c>
      <c r="K44" s="26">
        <f>H44*Subsector!$S$13</f>
        <v>0</v>
      </c>
      <c r="L44" s="26">
        <f>H44*Subsector!$S$15</f>
        <v>0</v>
      </c>
      <c r="M44" s="26">
        <f>H44*Subsector!$S$16</f>
        <v>0</v>
      </c>
      <c r="N44" s="66">
        <f>H44*Subsector!$S$17</f>
        <v>0</v>
      </c>
      <c r="O44" s="41">
        <f t="shared" si="20"/>
        <v>0</v>
      </c>
      <c r="P44" s="26">
        <f t="shared" si="20"/>
        <v>0</v>
      </c>
      <c r="Q44" s="26">
        <f t="shared" si="21"/>
        <v>0</v>
      </c>
      <c r="R44" s="26">
        <f t="shared" si="22"/>
        <v>0</v>
      </c>
      <c r="S44" s="26">
        <f t="shared" si="23"/>
        <v>0</v>
      </c>
      <c r="T44" s="26">
        <f t="shared" si="23"/>
        <v>0</v>
      </c>
      <c r="U44" s="42">
        <f t="shared" si="24"/>
        <v>0</v>
      </c>
    </row>
    <row r="45" spans="1:21" ht="19.95" customHeight="1" x14ac:dyDescent="0.3">
      <c r="A45" s="54"/>
      <c r="B45" s="28">
        <v>6406</v>
      </c>
      <c r="C45" s="23"/>
      <c r="D45" s="21" t="s">
        <v>77</v>
      </c>
      <c r="E45" s="39">
        <f>SUM(E46:E49)</f>
        <v>0</v>
      </c>
      <c r="F45" s="22">
        <f t="shared" ref="F45:U45" si="25">SUM(F46:F49)</f>
        <v>0</v>
      </c>
      <c r="G45" s="22">
        <f t="shared" si="25"/>
        <v>0</v>
      </c>
      <c r="H45" s="40">
        <f t="shared" si="25"/>
        <v>0</v>
      </c>
      <c r="I45" s="36">
        <f t="shared" si="25"/>
        <v>0</v>
      </c>
      <c r="J45" s="22">
        <f t="shared" si="25"/>
        <v>0</v>
      </c>
      <c r="K45" s="22">
        <f t="shared" si="25"/>
        <v>0</v>
      </c>
      <c r="L45" s="22">
        <f t="shared" si="25"/>
        <v>0</v>
      </c>
      <c r="M45" s="22">
        <f t="shared" si="25"/>
        <v>0</v>
      </c>
      <c r="N45" s="65">
        <f t="shared" si="25"/>
        <v>0</v>
      </c>
      <c r="O45" s="39">
        <f t="shared" si="25"/>
        <v>0</v>
      </c>
      <c r="P45" s="22">
        <f t="shared" si="25"/>
        <v>0</v>
      </c>
      <c r="Q45" s="22">
        <f t="shared" si="25"/>
        <v>0</v>
      </c>
      <c r="R45" s="22">
        <f t="shared" si="25"/>
        <v>0</v>
      </c>
      <c r="S45" s="22">
        <f t="shared" si="25"/>
        <v>0</v>
      </c>
      <c r="T45" s="22">
        <f t="shared" si="25"/>
        <v>0</v>
      </c>
      <c r="U45" s="40">
        <f t="shared" si="25"/>
        <v>0</v>
      </c>
    </row>
    <row r="46" spans="1:21" ht="19.95" customHeight="1" x14ac:dyDescent="0.3">
      <c r="A46" s="55"/>
      <c r="B46" s="28"/>
      <c r="C46" s="24">
        <v>64061</v>
      </c>
      <c r="D46" s="25" t="s">
        <v>78</v>
      </c>
      <c r="E46" s="43"/>
      <c r="F46" s="27"/>
      <c r="G46" s="27"/>
      <c r="H46" s="44"/>
      <c r="I46" s="49">
        <f>H46*Subsector!$S$11</f>
        <v>0</v>
      </c>
      <c r="J46" s="26">
        <f>H46*Subsector!$S$12</f>
        <v>0</v>
      </c>
      <c r="K46" s="26">
        <f>H46*Subsector!$S$13</f>
        <v>0</v>
      </c>
      <c r="L46" s="26">
        <f>H46*Subsector!$S$15</f>
        <v>0</v>
      </c>
      <c r="M46" s="26">
        <f>H46*Subsector!$S$16</f>
        <v>0</v>
      </c>
      <c r="N46" s="66">
        <f>H46*Subsector!$S$17</f>
        <v>0</v>
      </c>
      <c r="O46" s="41">
        <f t="shared" ref="O46:P49" si="26">ROUNDUP(SUM(E46,I46),1)</f>
        <v>0</v>
      </c>
      <c r="P46" s="26">
        <f t="shared" si="26"/>
        <v>0</v>
      </c>
      <c r="Q46" s="26">
        <f>ROUNDUP(SUM(K46),1)</f>
        <v>0</v>
      </c>
      <c r="R46" s="26">
        <f>ROUNDUP(SUM(G46,L46),1)</f>
        <v>0</v>
      </c>
      <c r="S46" s="26">
        <f t="shared" ref="S46:T49" si="27">ROUNDUP(SUM(M46),1)</f>
        <v>0</v>
      </c>
      <c r="T46" s="26">
        <f t="shared" si="27"/>
        <v>0</v>
      </c>
      <c r="U46" s="42">
        <f>SUM(O46:T46)</f>
        <v>0</v>
      </c>
    </row>
    <row r="47" spans="1:21" ht="19.95" customHeight="1" x14ac:dyDescent="0.3">
      <c r="A47" s="55"/>
      <c r="B47" s="28"/>
      <c r="C47" s="24">
        <v>64063</v>
      </c>
      <c r="D47" s="25" t="s">
        <v>79</v>
      </c>
      <c r="E47" s="43"/>
      <c r="F47" s="27"/>
      <c r="G47" s="27"/>
      <c r="H47" s="44"/>
      <c r="I47" s="49">
        <f>H47*Subsector!$S$11</f>
        <v>0</v>
      </c>
      <c r="J47" s="26">
        <f>H47*Subsector!$S$12</f>
        <v>0</v>
      </c>
      <c r="K47" s="26">
        <f>H47*Subsector!$S$13</f>
        <v>0</v>
      </c>
      <c r="L47" s="26">
        <f>H47*Subsector!$S$15</f>
        <v>0</v>
      </c>
      <c r="M47" s="26">
        <f>H47*Subsector!$S$16</f>
        <v>0</v>
      </c>
      <c r="N47" s="66">
        <f>H47*Subsector!$S$17</f>
        <v>0</v>
      </c>
      <c r="O47" s="41">
        <f t="shared" si="26"/>
        <v>0</v>
      </c>
      <c r="P47" s="26">
        <f t="shared" si="26"/>
        <v>0</v>
      </c>
      <c r="Q47" s="26">
        <f>ROUNDUP(SUM(K47),1)</f>
        <v>0</v>
      </c>
      <c r="R47" s="26">
        <f>ROUNDUP(SUM(G47,L47),1)</f>
        <v>0</v>
      </c>
      <c r="S47" s="26">
        <f t="shared" si="27"/>
        <v>0</v>
      </c>
      <c r="T47" s="26">
        <f t="shared" si="27"/>
        <v>0</v>
      </c>
      <c r="U47" s="42">
        <f>SUM(O47:T47)</f>
        <v>0</v>
      </c>
    </row>
    <row r="48" spans="1:21" ht="19.95" customHeight="1" x14ac:dyDescent="0.3">
      <c r="A48" s="55"/>
      <c r="B48" s="24"/>
      <c r="C48" s="24">
        <v>64064</v>
      </c>
      <c r="D48" s="25" t="s">
        <v>80</v>
      </c>
      <c r="E48" s="43"/>
      <c r="F48" s="27"/>
      <c r="G48" s="27"/>
      <c r="H48" s="44"/>
      <c r="I48" s="49">
        <f>H48*Subsector!$S$11</f>
        <v>0</v>
      </c>
      <c r="J48" s="26">
        <f>H48*Subsector!$S$12</f>
        <v>0</v>
      </c>
      <c r="K48" s="26">
        <f>H48*Subsector!$S$13</f>
        <v>0</v>
      </c>
      <c r="L48" s="26">
        <f>H48*Subsector!$S$15</f>
        <v>0</v>
      </c>
      <c r="M48" s="26">
        <f>H48*Subsector!$S$16</f>
        <v>0</v>
      </c>
      <c r="N48" s="66">
        <f>H48*Subsector!$S$17</f>
        <v>0</v>
      </c>
      <c r="O48" s="41">
        <f t="shared" si="26"/>
        <v>0</v>
      </c>
      <c r="P48" s="26">
        <f t="shared" si="26"/>
        <v>0</v>
      </c>
      <c r="Q48" s="26">
        <f>ROUNDUP(SUM(K48),1)</f>
        <v>0</v>
      </c>
      <c r="R48" s="26">
        <f>ROUNDUP(SUM(G48,L48),1)</f>
        <v>0</v>
      </c>
      <c r="S48" s="26">
        <f t="shared" si="27"/>
        <v>0</v>
      </c>
      <c r="T48" s="26">
        <f t="shared" si="27"/>
        <v>0</v>
      </c>
      <c r="U48" s="42">
        <f>SUM(O48:T48)</f>
        <v>0</v>
      </c>
    </row>
    <row r="49" spans="1:21" ht="19.95" customHeight="1" x14ac:dyDescent="0.3">
      <c r="A49" s="55"/>
      <c r="B49" s="24"/>
      <c r="C49" s="24">
        <v>64068</v>
      </c>
      <c r="D49" s="25" t="s">
        <v>81</v>
      </c>
      <c r="E49" s="43"/>
      <c r="F49" s="27"/>
      <c r="G49" s="27"/>
      <c r="H49" s="44"/>
      <c r="I49" s="49">
        <f>H49*Subsector!$S$11</f>
        <v>0</v>
      </c>
      <c r="J49" s="26">
        <f>H49*Subsector!$S$12</f>
        <v>0</v>
      </c>
      <c r="K49" s="26">
        <f>H49*Subsector!$S$13</f>
        <v>0</v>
      </c>
      <c r="L49" s="26">
        <f>H49*Subsector!$S$15</f>
        <v>0</v>
      </c>
      <c r="M49" s="26">
        <f>H49*Subsector!$S$16</f>
        <v>0</v>
      </c>
      <c r="N49" s="66">
        <f>H49*Subsector!$S$17</f>
        <v>0</v>
      </c>
      <c r="O49" s="41">
        <f t="shared" si="26"/>
        <v>0</v>
      </c>
      <c r="P49" s="26">
        <f t="shared" si="26"/>
        <v>0</v>
      </c>
      <c r="Q49" s="26">
        <f>ROUNDUP(SUM(K49),1)</f>
        <v>0</v>
      </c>
      <c r="R49" s="26">
        <f>ROUNDUP(SUM(G49,L49),1)</f>
        <v>0</v>
      </c>
      <c r="S49" s="26">
        <f t="shared" si="27"/>
        <v>0</v>
      </c>
      <c r="T49" s="26">
        <f t="shared" si="27"/>
        <v>0</v>
      </c>
      <c r="U49" s="42">
        <f>SUM(O49:T49)</f>
        <v>0</v>
      </c>
    </row>
    <row r="50" spans="1:21" ht="19.95" customHeight="1" x14ac:dyDescent="0.3">
      <c r="A50" s="51"/>
      <c r="B50" s="28">
        <v>6407</v>
      </c>
      <c r="C50" s="28"/>
      <c r="D50" s="29" t="s">
        <v>82</v>
      </c>
      <c r="E50" s="39">
        <f>SUM(E51:E58)</f>
        <v>0</v>
      </c>
      <c r="F50" s="22">
        <f t="shared" ref="F50:U50" si="28">SUM(F51:F58)</f>
        <v>0</v>
      </c>
      <c r="G50" s="22">
        <f t="shared" si="28"/>
        <v>0</v>
      </c>
      <c r="H50" s="40">
        <f t="shared" si="28"/>
        <v>0</v>
      </c>
      <c r="I50" s="36">
        <f t="shared" si="28"/>
        <v>0</v>
      </c>
      <c r="J50" s="22">
        <f t="shared" si="28"/>
        <v>0</v>
      </c>
      <c r="K50" s="22">
        <f t="shared" si="28"/>
        <v>0</v>
      </c>
      <c r="L50" s="22">
        <f t="shared" si="28"/>
        <v>0</v>
      </c>
      <c r="M50" s="22">
        <f t="shared" si="28"/>
        <v>0</v>
      </c>
      <c r="N50" s="65">
        <f t="shared" si="28"/>
        <v>0</v>
      </c>
      <c r="O50" s="39">
        <f t="shared" si="28"/>
        <v>0</v>
      </c>
      <c r="P50" s="22">
        <f t="shared" si="28"/>
        <v>0</v>
      </c>
      <c r="Q50" s="22">
        <f t="shared" si="28"/>
        <v>0</v>
      </c>
      <c r="R50" s="22">
        <f t="shared" si="28"/>
        <v>0</v>
      </c>
      <c r="S50" s="22">
        <f t="shared" si="28"/>
        <v>0</v>
      </c>
      <c r="T50" s="22">
        <f t="shared" si="28"/>
        <v>0</v>
      </c>
      <c r="U50" s="40">
        <f t="shared" si="28"/>
        <v>0</v>
      </c>
    </row>
    <row r="51" spans="1:21" ht="19.95" customHeight="1" x14ac:dyDescent="0.3">
      <c r="A51" s="52"/>
      <c r="B51" s="28"/>
      <c r="C51" s="30">
        <v>64071</v>
      </c>
      <c r="D51" s="31" t="s">
        <v>83</v>
      </c>
      <c r="E51" s="43"/>
      <c r="F51" s="27"/>
      <c r="G51" s="27"/>
      <c r="H51" s="44"/>
      <c r="I51" s="49">
        <f>H51*Subsector!$S$11</f>
        <v>0</v>
      </c>
      <c r="J51" s="26">
        <f>H51*Subsector!$S$12</f>
        <v>0</v>
      </c>
      <c r="K51" s="26">
        <f>H51*Subsector!$S$13</f>
        <v>0</v>
      </c>
      <c r="L51" s="26">
        <f>H51*Subsector!$S$15</f>
        <v>0</v>
      </c>
      <c r="M51" s="26">
        <f>H51*Subsector!$S$16</f>
        <v>0</v>
      </c>
      <c r="N51" s="66">
        <f>H51*Subsector!$S$17</f>
        <v>0</v>
      </c>
      <c r="O51" s="41">
        <f t="shared" ref="O51:P58" si="29">ROUNDUP(SUM(E51,I51),1)</f>
        <v>0</v>
      </c>
      <c r="P51" s="26">
        <f t="shared" si="29"/>
        <v>0</v>
      </c>
      <c r="Q51" s="26">
        <f t="shared" ref="Q51:Q58" si="30">ROUNDUP(SUM(K51),1)</f>
        <v>0</v>
      </c>
      <c r="R51" s="26">
        <f t="shared" ref="R51:R58" si="31">ROUNDUP(SUM(G51,L51),1)</f>
        <v>0</v>
      </c>
      <c r="S51" s="26">
        <f t="shared" ref="S51:T58" si="32">ROUNDUP(SUM(M51),1)</f>
        <v>0</v>
      </c>
      <c r="T51" s="26">
        <f t="shared" si="32"/>
        <v>0</v>
      </c>
      <c r="U51" s="42">
        <f t="shared" ref="U51:U58" si="33">SUM(O51:T51)</f>
        <v>0</v>
      </c>
    </row>
    <row r="52" spans="1:21" ht="19.95" customHeight="1" x14ac:dyDescent="0.3">
      <c r="A52" s="52"/>
      <c r="B52" s="28"/>
      <c r="C52" s="30">
        <v>64072</v>
      </c>
      <c r="D52" s="31" t="s">
        <v>84</v>
      </c>
      <c r="E52" s="43"/>
      <c r="F52" s="27"/>
      <c r="G52" s="27"/>
      <c r="H52" s="44"/>
      <c r="I52" s="49">
        <f>H52*Subsector!$S$11</f>
        <v>0</v>
      </c>
      <c r="J52" s="26">
        <f>H52*Subsector!$S$12</f>
        <v>0</v>
      </c>
      <c r="K52" s="26">
        <f>H52*Subsector!$S$13</f>
        <v>0</v>
      </c>
      <c r="L52" s="26">
        <f>H52*Subsector!$S$15</f>
        <v>0</v>
      </c>
      <c r="M52" s="26">
        <f>H52*Subsector!$S$16</f>
        <v>0</v>
      </c>
      <c r="N52" s="66">
        <f>H52*Subsector!$S$17</f>
        <v>0</v>
      </c>
      <c r="O52" s="41">
        <f t="shared" si="29"/>
        <v>0</v>
      </c>
      <c r="P52" s="26">
        <f t="shared" si="29"/>
        <v>0</v>
      </c>
      <c r="Q52" s="26">
        <f t="shared" si="30"/>
        <v>0</v>
      </c>
      <c r="R52" s="26">
        <f t="shared" si="31"/>
        <v>0</v>
      </c>
      <c r="S52" s="26">
        <f t="shared" si="32"/>
        <v>0</v>
      </c>
      <c r="T52" s="26">
        <f t="shared" si="32"/>
        <v>0</v>
      </c>
      <c r="U52" s="42">
        <f t="shared" si="33"/>
        <v>0</v>
      </c>
    </row>
    <row r="53" spans="1:21" ht="19.95" customHeight="1" x14ac:dyDescent="0.3">
      <c r="A53" s="52"/>
      <c r="B53" s="28"/>
      <c r="C53" s="30">
        <v>64073</v>
      </c>
      <c r="D53" s="31" t="s">
        <v>85</v>
      </c>
      <c r="E53" s="43"/>
      <c r="F53" s="27"/>
      <c r="G53" s="27"/>
      <c r="H53" s="44"/>
      <c r="I53" s="49">
        <f>H53*Subsector!$S$11</f>
        <v>0</v>
      </c>
      <c r="J53" s="26">
        <f>H53*Subsector!$S$12</f>
        <v>0</v>
      </c>
      <c r="K53" s="26">
        <f>H53*Subsector!$S$13</f>
        <v>0</v>
      </c>
      <c r="L53" s="26">
        <f>H53*Subsector!$S$15</f>
        <v>0</v>
      </c>
      <c r="M53" s="26">
        <f>H53*Subsector!$S$16</f>
        <v>0</v>
      </c>
      <c r="N53" s="66">
        <f>H53*Subsector!$S$17</f>
        <v>0</v>
      </c>
      <c r="O53" s="41">
        <f t="shared" si="29"/>
        <v>0</v>
      </c>
      <c r="P53" s="26">
        <f t="shared" si="29"/>
        <v>0</v>
      </c>
      <c r="Q53" s="26">
        <f t="shared" si="30"/>
        <v>0</v>
      </c>
      <c r="R53" s="26">
        <f t="shared" si="31"/>
        <v>0</v>
      </c>
      <c r="S53" s="26">
        <f t="shared" si="32"/>
        <v>0</v>
      </c>
      <c r="T53" s="26">
        <f t="shared" si="32"/>
        <v>0</v>
      </c>
      <c r="U53" s="42">
        <f t="shared" si="33"/>
        <v>0</v>
      </c>
    </row>
    <row r="54" spans="1:21" ht="19.95" customHeight="1" x14ac:dyDescent="0.3">
      <c r="A54" s="52"/>
      <c r="B54" s="24"/>
      <c r="C54" s="30">
        <v>64074</v>
      </c>
      <c r="D54" s="25" t="s">
        <v>86</v>
      </c>
      <c r="E54" s="43"/>
      <c r="F54" s="27"/>
      <c r="G54" s="27"/>
      <c r="H54" s="44"/>
      <c r="I54" s="49">
        <f>H54*Subsector!$S$11</f>
        <v>0</v>
      </c>
      <c r="J54" s="26">
        <f>H54*Subsector!$S$12</f>
        <v>0</v>
      </c>
      <c r="K54" s="26">
        <f>H54*Subsector!$S$13</f>
        <v>0</v>
      </c>
      <c r="L54" s="26">
        <f>H54*Subsector!$S$15</f>
        <v>0</v>
      </c>
      <c r="M54" s="26">
        <f>H54*Subsector!$S$16</f>
        <v>0</v>
      </c>
      <c r="N54" s="66">
        <f>H54*Subsector!$S$17</f>
        <v>0</v>
      </c>
      <c r="O54" s="41">
        <f t="shared" si="29"/>
        <v>0</v>
      </c>
      <c r="P54" s="26">
        <f t="shared" si="29"/>
        <v>0</v>
      </c>
      <c r="Q54" s="26">
        <f t="shared" si="30"/>
        <v>0</v>
      </c>
      <c r="R54" s="26">
        <f t="shared" si="31"/>
        <v>0</v>
      </c>
      <c r="S54" s="26">
        <f t="shared" si="32"/>
        <v>0</v>
      </c>
      <c r="T54" s="26">
        <f t="shared" si="32"/>
        <v>0</v>
      </c>
      <c r="U54" s="42">
        <f t="shared" si="33"/>
        <v>0</v>
      </c>
    </row>
    <row r="55" spans="1:21" ht="19.95" customHeight="1" x14ac:dyDescent="0.3">
      <c r="A55" s="52"/>
      <c r="B55" s="28"/>
      <c r="C55" s="30">
        <v>64075</v>
      </c>
      <c r="D55" s="31" t="s">
        <v>48</v>
      </c>
      <c r="E55" s="43"/>
      <c r="F55" s="27"/>
      <c r="G55" s="27"/>
      <c r="H55" s="44"/>
      <c r="I55" s="49">
        <f>H55*Subsector!$S$11</f>
        <v>0</v>
      </c>
      <c r="J55" s="26">
        <f>H55*Subsector!$S$12</f>
        <v>0</v>
      </c>
      <c r="K55" s="26">
        <f>H55*Subsector!$S$13</f>
        <v>0</v>
      </c>
      <c r="L55" s="26">
        <f>H55*Subsector!$S$15</f>
        <v>0</v>
      </c>
      <c r="M55" s="26">
        <f>H55*Subsector!$S$16</f>
        <v>0</v>
      </c>
      <c r="N55" s="66">
        <f>H55*Subsector!$S$17</f>
        <v>0</v>
      </c>
      <c r="O55" s="41">
        <f t="shared" si="29"/>
        <v>0</v>
      </c>
      <c r="P55" s="26">
        <f t="shared" si="29"/>
        <v>0</v>
      </c>
      <c r="Q55" s="26">
        <f t="shared" si="30"/>
        <v>0</v>
      </c>
      <c r="R55" s="26">
        <f t="shared" si="31"/>
        <v>0</v>
      </c>
      <c r="S55" s="26">
        <f t="shared" si="32"/>
        <v>0</v>
      </c>
      <c r="T55" s="26">
        <f t="shared" si="32"/>
        <v>0</v>
      </c>
      <c r="U55" s="42">
        <f t="shared" si="33"/>
        <v>0</v>
      </c>
    </row>
    <row r="56" spans="1:21" ht="19.95" customHeight="1" x14ac:dyDescent="0.3">
      <c r="A56" s="52"/>
      <c r="B56" s="28"/>
      <c r="C56" s="30">
        <v>64076</v>
      </c>
      <c r="D56" s="31" t="s">
        <v>49</v>
      </c>
      <c r="E56" s="43"/>
      <c r="F56" s="27"/>
      <c r="G56" s="27"/>
      <c r="H56" s="44"/>
      <c r="I56" s="49">
        <f>H56*Subsector!$S$11</f>
        <v>0</v>
      </c>
      <c r="J56" s="26">
        <f>H56*Subsector!$S$12</f>
        <v>0</v>
      </c>
      <c r="K56" s="26">
        <f>H56*Subsector!$S$13</f>
        <v>0</v>
      </c>
      <c r="L56" s="26">
        <f>H56*Subsector!$S$15</f>
        <v>0</v>
      </c>
      <c r="M56" s="26">
        <f>H56*Subsector!$S$16</f>
        <v>0</v>
      </c>
      <c r="N56" s="66">
        <f>H56*Subsector!$S$17</f>
        <v>0</v>
      </c>
      <c r="O56" s="41">
        <f t="shared" si="29"/>
        <v>0</v>
      </c>
      <c r="P56" s="26">
        <f t="shared" si="29"/>
        <v>0</v>
      </c>
      <c r="Q56" s="26">
        <f t="shared" si="30"/>
        <v>0</v>
      </c>
      <c r="R56" s="26">
        <f t="shared" si="31"/>
        <v>0</v>
      </c>
      <c r="S56" s="26">
        <f t="shared" si="32"/>
        <v>0</v>
      </c>
      <c r="T56" s="26">
        <f t="shared" si="32"/>
        <v>0</v>
      </c>
      <c r="U56" s="42">
        <f t="shared" si="33"/>
        <v>0</v>
      </c>
    </row>
    <row r="57" spans="1:21" ht="19.95" customHeight="1" x14ac:dyDescent="0.3">
      <c r="A57" s="52"/>
      <c r="B57" s="28"/>
      <c r="C57" s="30">
        <v>64077</v>
      </c>
      <c r="D57" s="31" t="s">
        <v>50</v>
      </c>
      <c r="E57" s="43"/>
      <c r="F57" s="27"/>
      <c r="G57" s="27"/>
      <c r="H57" s="44"/>
      <c r="I57" s="49">
        <f>H57*Subsector!$S$11</f>
        <v>0</v>
      </c>
      <c r="J57" s="26">
        <f>H57*Subsector!$S$12</f>
        <v>0</v>
      </c>
      <c r="K57" s="26">
        <f>H57*Subsector!$S$13</f>
        <v>0</v>
      </c>
      <c r="L57" s="26">
        <f>H57*Subsector!$S$15</f>
        <v>0</v>
      </c>
      <c r="M57" s="26">
        <f>H57*Subsector!$S$16</f>
        <v>0</v>
      </c>
      <c r="N57" s="66">
        <f>H57*Subsector!$S$17</f>
        <v>0</v>
      </c>
      <c r="O57" s="41">
        <f t="shared" si="29"/>
        <v>0</v>
      </c>
      <c r="P57" s="26">
        <f t="shared" si="29"/>
        <v>0</v>
      </c>
      <c r="Q57" s="26">
        <f t="shared" si="30"/>
        <v>0</v>
      </c>
      <c r="R57" s="26">
        <f t="shared" si="31"/>
        <v>0</v>
      </c>
      <c r="S57" s="26">
        <f t="shared" si="32"/>
        <v>0</v>
      </c>
      <c r="T57" s="26">
        <f t="shared" si="32"/>
        <v>0</v>
      </c>
      <c r="U57" s="42">
        <f t="shared" si="33"/>
        <v>0</v>
      </c>
    </row>
    <row r="58" spans="1:21" ht="19.95" customHeight="1" x14ac:dyDescent="0.3">
      <c r="A58" s="52"/>
      <c r="B58" s="28"/>
      <c r="C58" s="30">
        <v>64078</v>
      </c>
      <c r="D58" s="31" t="s">
        <v>87</v>
      </c>
      <c r="E58" s="43"/>
      <c r="F58" s="27"/>
      <c r="G58" s="27"/>
      <c r="H58" s="44"/>
      <c r="I58" s="49">
        <f>H58*Subsector!$S$11</f>
        <v>0</v>
      </c>
      <c r="J58" s="26">
        <f>H58*Subsector!$S$12</f>
        <v>0</v>
      </c>
      <c r="K58" s="26">
        <f>H58*Subsector!$S$13</f>
        <v>0</v>
      </c>
      <c r="L58" s="26">
        <f>H58*Subsector!$S$15</f>
        <v>0</v>
      </c>
      <c r="M58" s="26">
        <f>H58*Subsector!$S$16</f>
        <v>0</v>
      </c>
      <c r="N58" s="66">
        <f>H58*Subsector!$S$17</f>
        <v>0</v>
      </c>
      <c r="O58" s="41">
        <f t="shared" si="29"/>
        <v>0</v>
      </c>
      <c r="P58" s="26">
        <f t="shared" si="29"/>
        <v>0</v>
      </c>
      <c r="Q58" s="26">
        <f t="shared" si="30"/>
        <v>0</v>
      </c>
      <c r="R58" s="26">
        <f t="shared" si="31"/>
        <v>0</v>
      </c>
      <c r="S58" s="26">
        <f t="shared" si="32"/>
        <v>0</v>
      </c>
      <c r="T58" s="26">
        <f t="shared" si="32"/>
        <v>0</v>
      </c>
      <c r="U58" s="42">
        <f t="shared" si="33"/>
        <v>0</v>
      </c>
    </row>
    <row r="59" spans="1:21" ht="19.95" customHeight="1" x14ac:dyDescent="0.3">
      <c r="A59" s="51"/>
      <c r="B59" s="28">
        <v>6498</v>
      </c>
      <c r="C59" s="28"/>
      <c r="D59" s="29" t="s">
        <v>88</v>
      </c>
      <c r="E59" s="39">
        <f>SUM(E60)</f>
        <v>0</v>
      </c>
      <c r="F59" s="22">
        <f t="shared" ref="F59:U59" si="34">SUM(F60)</f>
        <v>0</v>
      </c>
      <c r="G59" s="22">
        <f>SUM(G60)</f>
        <v>0</v>
      </c>
      <c r="H59" s="40">
        <f t="shared" si="34"/>
        <v>0</v>
      </c>
      <c r="I59" s="36">
        <f t="shared" si="34"/>
        <v>0</v>
      </c>
      <c r="J59" s="22">
        <f t="shared" si="34"/>
        <v>0</v>
      </c>
      <c r="K59" s="22">
        <f t="shared" si="34"/>
        <v>0</v>
      </c>
      <c r="L59" s="22">
        <f t="shared" si="34"/>
        <v>0</v>
      </c>
      <c r="M59" s="22">
        <f t="shared" si="34"/>
        <v>0</v>
      </c>
      <c r="N59" s="65">
        <f t="shared" si="34"/>
        <v>0</v>
      </c>
      <c r="O59" s="39">
        <f t="shared" si="34"/>
        <v>0</v>
      </c>
      <c r="P59" s="22">
        <f t="shared" si="34"/>
        <v>0</v>
      </c>
      <c r="Q59" s="22">
        <f t="shared" si="34"/>
        <v>0</v>
      </c>
      <c r="R59" s="22">
        <f t="shared" si="34"/>
        <v>0</v>
      </c>
      <c r="S59" s="22">
        <f t="shared" si="34"/>
        <v>0</v>
      </c>
      <c r="T59" s="22">
        <f t="shared" si="34"/>
        <v>0</v>
      </c>
      <c r="U59" s="40">
        <f t="shared" si="34"/>
        <v>0</v>
      </c>
    </row>
    <row r="60" spans="1:21" ht="19.95" customHeight="1" thickBot="1" x14ac:dyDescent="0.35">
      <c r="A60" s="56"/>
      <c r="B60" s="57"/>
      <c r="C60" s="58">
        <v>64981</v>
      </c>
      <c r="D60" s="59" t="s">
        <v>88</v>
      </c>
      <c r="E60" s="68"/>
      <c r="F60" s="69"/>
      <c r="G60" s="69"/>
      <c r="H60" s="70"/>
      <c r="I60" s="63">
        <f>H60*Subsector!$S$11</f>
        <v>0</v>
      </c>
      <c r="J60" s="61">
        <f>H60*Subsector!$S$12</f>
        <v>0</v>
      </c>
      <c r="K60" s="61">
        <f>H60*Subsector!$S$13</f>
        <v>0</v>
      </c>
      <c r="L60" s="61">
        <f>H60*Subsector!$S$15</f>
        <v>0</v>
      </c>
      <c r="M60" s="61">
        <f>H60*Subsector!$S$16</f>
        <v>0</v>
      </c>
      <c r="N60" s="67">
        <f>H60*Subsector!$S$17</f>
        <v>0</v>
      </c>
      <c r="O60" s="60">
        <f>ROUNDUP(SUM(E60,I60),1)</f>
        <v>0</v>
      </c>
      <c r="P60" s="61">
        <f>ROUNDUP(SUM(F60,J60),1)</f>
        <v>0</v>
      </c>
      <c r="Q60" s="61">
        <f>ROUNDUP(SUM(K60),1)</f>
        <v>0</v>
      </c>
      <c r="R60" s="61">
        <f>ROUNDUP(SUM(G60,L60),1)</f>
        <v>0</v>
      </c>
      <c r="S60" s="61">
        <f>ROUNDUP(SUM(M60),1)</f>
        <v>0</v>
      </c>
      <c r="T60" s="61">
        <f>ROUNDUP(SUM(N60),1)</f>
        <v>0</v>
      </c>
      <c r="U60" s="62">
        <f>SUM(O60:T60)</f>
        <v>0</v>
      </c>
    </row>
  </sheetData>
  <sheetProtection algorithmName="SHA-512" hashValue="SavT2fpvTsXraA9SgxGAbhPukb+tU33UlfQldN5pRg5F+SetvwOKDYkAFeCfscvKIx9n2/zulzeqvIr3Bpf1Fw==" saltValue="IdyhC8nfpicQqKfsclJtwA==" spinCount="100000" sheet="1" formatCells="0" formatColumns="0" formatRows="0" sort="0" autoFilter="0" pivotTables="0"/>
  <mergeCells count="8">
    <mergeCell ref="A3:U3"/>
    <mergeCell ref="A5:A7"/>
    <mergeCell ref="B5:B7"/>
    <mergeCell ref="C5:C7"/>
    <mergeCell ref="D5:D7"/>
    <mergeCell ref="E5:H5"/>
    <mergeCell ref="I5:N6"/>
    <mergeCell ref="O5:U6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77864-5C0C-42CE-80DE-FD793B8F58FB}">
  <sheetPr codeName="Sheet16"/>
  <dimension ref="A1:U60"/>
  <sheetViews>
    <sheetView zoomScale="70" zoomScaleNormal="70" workbookViewId="0">
      <selection activeCell="F12" sqref="F12"/>
    </sheetView>
  </sheetViews>
  <sheetFormatPr defaultRowHeight="14.4" x14ac:dyDescent="0.3"/>
  <cols>
    <col min="1" max="1" width="6" customWidth="1"/>
    <col min="2" max="2" width="6.5546875" customWidth="1"/>
    <col min="3" max="3" width="9.44140625" customWidth="1"/>
    <col min="4" max="4" width="48.77734375" customWidth="1"/>
    <col min="5" max="9" width="8.21875" customWidth="1"/>
    <col min="10" max="21" width="8.77734375" customWidth="1"/>
  </cols>
  <sheetData>
    <row r="1" spans="1:21" ht="21.45" customHeight="1" x14ac:dyDescent="0.3"/>
    <row r="2" spans="1:21" ht="21.45" customHeight="1" x14ac:dyDescent="0.3"/>
    <row r="3" spans="1:21" ht="36.450000000000003" customHeight="1" x14ac:dyDescent="0.3">
      <c r="A3" s="108" t="s">
        <v>98</v>
      </c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</row>
    <row r="4" spans="1:21" ht="21.45" customHeight="1" thickBot="1" x14ac:dyDescent="0.35"/>
    <row r="5" spans="1:21" ht="43.5" customHeight="1" x14ac:dyDescent="0.3">
      <c r="A5" s="123" t="s">
        <v>39</v>
      </c>
      <c r="B5" s="121" t="s">
        <v>40</v>
      </c>
      <c r="C5" s="121" t="s">
        <v>41</v>
      </c>
      <c r="D5" s="119" t="s">
        <v>42</v>
      </c>
      <c r="E5" s="125" t="s">
        <v>99</v>
      </c>
      <c r="F5" s="126"/>
      <c r="G5" s="126"/>
      <c r="H5" s="127"/>
      <c r="I5" s="140" t="s">
        <v>94</v>
      </c>
      <c r="J5" s="141"/>
      <c r="K5" s="141"/>
      <c r="L5" s="141"/>
      <c r="M5" s="141"/>
      <c r="N5" s="142"/>
      <c r="O5" s="134" t="s">
        <v>95</v>
      </c>
      <c r="P5" s="135"/>
      <c r="Q5" s="135"/>
      <c r="R5" s="135"/>
      <c r="S5" s="135"/>
      <c r="T5" s="135"/>
      <c r="U5" s="136"/>
    </row>
    <row r="6" spans="1:21" ht="43.05" customHeight="1" x14ac:dyDescent="0.8">
      <c r="A6" s="124"/>
      <c r="B6" s="122"/>
      <c r="C6" s="122"/>
      <c r="D6" s="120"/>
      <c r="E6" s="45"/>
      <c r="F6" s="46"/>
      <c r="G6" s="46"/>
      <c r="H6" s="47"/>
      <c r="I6" s="143"/>
      <c r="J6" s="144"/>
      <c r="K6" s="144"/>
      <c r="L6" s="144"/>
      <c r="M6" s="144"/>
      <c r="N6" s="145"/>
      <c r="O6" s="137"/>
      <c r="P6" s="138"/>
      <c r="Q6" s="138"/>
      <c r="R6" s="138"/>
      <c r="S6" s="138"/>
      <c r="T6" s="138"/>
      <c r="U6" s="139"/>
    </row>
    <row r="7" spans="1:21" ht="132.44999999999999" customHeight="1" x14ac:dyDescent="0.3">
      <c r="A7" s="124"/>
      <c r="B7" s="122"/>
      <c r="C7" s="122"/>
      <c r="D7" s="120"/>
      <c r="E7" s="78" t="s">
        <v>25</v>
      </c>
      <c r="F7" s="74" t="s">
        <v>26</v>
      </c>
      <c r="G7" s="74" t="s">
        <v>29</v>
      </c>
      <c r="H7" s="79" t="s">
        <v>91</v>
      </c>
      <c r="I7" s="77" t="s">
        <v>25</v>
      </c>
      <c r="J7" s="75" t="s">
        <v>26</v>
      </c>
      <c r="K7" s="75" t="s">
        <v>27</v>
      </c>
      <c r="L7" s="75" t="s">
        <v>29</v>
      </c>
      <c r="M7" s="75" t="s">
        <v>30</v>
      </c>
      <c r="N7" s="80" t="s">
        <v>31</v>
      </c>
      <c r="O7" s="81" t="s">
        <v>25</v>
      </c>
      <c r="P7" s="76" t="s">
        <v>26</v>
      </c>
      <c r="Q7" s="76" t="s">
        <v>27</v>
      </c>
      <c r="R7" s="76" t="s">
        <v>29</v>
      </c>
      <c r="S7" s="76" t="s">
        <v>30</v>
      </c>
      <c r="T7" s="76" t="s">
        <v>31</v>
      </c>
      <c r="U7" s="82" t="s">
        <v>12</v>
      </c>
    </row>
    <row r="8" spans="1:21" ht="19.95" customHeight="1" x14ac:dyDescent="0.3">
      <c r="A8" s="50">
        <v>64</v>
      </c>
      <c r="B8" s="32"/>
      <c r="C8" s="32"/>
      <c r="D8" s="33" t="s">
        <v>43</v>
      </c>
      <c r="E8" s="37">
        <f>SUM(E9,E18,E27,E33,E37,E45,E50,E59)</f>
        <v>0</v>
      </c>
      <c r="F8" s="34">
        <f t="shared" ref="F8:U8" si="0">SUM(F9,F18,F27,F33,F37,F45,F50,F59)</f>
        <v>0</v>
      </c>
      <c r="G8" s="34">
        <f t="shared" si="0"/>
        <v>0</v>
      </c>
      <c r="H8" s="38">
        <f t="shared" si="0"/>
        <v>0</v>
      </c>
      <c r="I8" s="35">
        <f t="shared" si="0"/>
        <v>0</v>
      </c>
      <c r="J8" s="34">
        <f t="shared" si="0"/>
        <v>0</v>
      </c>
      <c r="K8" s="34">
        <f t="shared" si="0"/>
        <v>0</v>
      </c>
      <c r="L8" s="34">
        <f t="shared" si="0"/>
        <v>0</v>
      </c>
      <c r="M8" s="34">
        <f t="shared" si="0"/>
        <v>0</v>
      </c>
      <c r="N8" s="64">
        <f t="shared" si="0"/>
        <v>0</v>
      </c>
      <c r="O8" s="37">
        <f t="shared" si="0"/>
        <v>0</v>
      </c>
      <c r="P8" s="34">
        <f t="shared" si="0"/>
        <v>0</v>
      </c>
      <c r="Q8" s="34">
        <f t="shared" si="0"/>
        <v>0</v>
      </c>
      <c r="R8" s="34">
        <f t="shared" si="0"/>
        <v>0</v>
      </c>
      <c r="S8" s="34">
        <f t="shared" si="0"/>
        <v>0</v>
      </c>
      <c r="T8" s="34">
        <f t="shared" si="0"/>
        <v>0</v>
      </c>
      <c r="U8" s="38">
        <f t="shared" si="0"/>
        <v>0</v>
      </c>
    </row>
    <row r="9" spans="1:21" ht="19.95" customHeight="1" x14ac:dyDescent="0.3">
      <c r="A9" s="51"/>
      <c r="B9" s="23">
        <v>6401</v>
      </c>
      <c r="C9" s="23"/>
      <c r="D9" s="21" t="s">
        <v>90</v>
      </c>
      <c r="E9" s="39">
        <f>SUM(E10:E17)</f>
        <v>0</v>
      </c>
      <c r="F9" s="22">
        <f>SUM(F10:F17)</f>
        <v>0</v>
      </c>
      <c r="G9" s="22">
        <f t="shared" ref="G9:U9" si="1">SUM(G10:G17)</f>
        <v>0</v>
      </c>
      <c r="H9" s="40">
        <f t="shared" si="1"/>
        <v>0</v>
      </c>
      <c r="I9" s="36">
        <f t="shared" si="1"/>
        <v>0</v>
      </c>
      <c r="J9" s="22">
        <f t="shared" si="1"/>
        <v>0</v>
      </c>
      <c r="K9" s="22">
        <f t="shared" si="1"/>
        <v>0</v>
      </c>
      <c r="L9" s="22">
        <f t="shared" si="1"/>
        <v>0</v>
      </c>
      <c r="M9" s="22">
        <f t="shared" si="1"/>
        <v>0</v>
      </c>
      <c r="N9" s="65">
        <f t="shared" si="1"/>
        <v>0</v>
      </c>
      <c r="O9" s="39">
        <f>SUM(O10:O17)</f>
        <v>0</v>
      </c>
      <c r="P9" s="22">
        <f t="shared" si="1"/>
        <v>0</v>
      </c>
      <c r="Q9" s="22">
        <f t="shared" si="1"/>
        <v>0</v>
      </c>
      <c r="R9" s="22">
        <f t="shared" si="1"/>
        <v>0</v>
      </c>
      <c r="S9" s="22">
        <f t="shared" si="1"/>
        <v>0</v>
      </c>
      <c r="T9" s="22">
        <f t="shared" si="1"/>
        <v>0</v>
      </c>
      <c r="U9" s="40">
        <f t="shared" si="1"/>
        <v>0</v>
      </c>
    </row>
    <row r="10" spans="1:21" ht="19.95" customHeight="1" x14ac:dyDescent="0.3">
      <c r="A10" s="52"/>
      <c r="B10" s="24"/>
      <c r="C10" s="24">
        <v>64011</v>
      </c>
      <c r="D10" s="25" t="s">
        <v>44</v>
      </c>
      <c r="E10" s="43"/>
      <c r="F10" s="27"/>
      <c r="G10" s="27">
        <v>0</v>
      </c>
      <c r="H10" s="44"/>
      <c r="I10" s="49">
        <f>H10*Subsector!$S$11</f>
        <v>0</v>
      </c>
      <c r="J10" s="26">
        <f>H10*Subsector!$S$12</f>
        <v>0</v>
      </c>
      <c r="K10" s="26">
        <f>H10*Subsector!$S$13</f>
        <v>0</v>
      </c>
      <c r="L10" s="26">
        <f>H10*Subsector!$S$15</f>
        <v>0</v>
      </c>
      <c r="M10" s="26">
        <f>H10*Subsector!$S$16</f>
        <v>0</v>
      </c>
      <c r="N10" s="66">
        <f>H10*Subsector!$S$17</f>
        <v>0</v>
      </c>
      <c r="O10" s="41">
        <f t="shared" ref="O10:P17" si="2">ROUNDUP(SUM(E10,I10),1)</f>
        <v>0</v>
      </c>
      <c r="P10" s="26">
        <f t="shared" si="2"/>
        <v>0</v>
      </c>
      <c r="Q10" s="26">
        <f t="shared" ref="Q10:Q17" si="3">ROUNDUP(SUM(K10),1)</f>
        <v>0</v>
      </c>
      <c r="R10" s="26">
        <f t="shared" ref="R10:R17" si="4">ROUNDUP(SUM(G10,L10),1)</f>
        <v>0</v>
      </c>
      <c r="S10" s="26">
        <f t="shared" ref="S10:T17" si="5">ROUNDUP(SUM(M10),1)</f>
        <v>0</v>
      </c>
      <c r="T10" s="26">
        <f t="shared" si="5"/>
        <v>0</v>
      </c>
      <c r="U10" s="42">
        <f t="shared" ref="U10:U17" si="6">SUM(O10:T10)</f>
        <v>0</v>
      </c>
    </row>
    <row r="11" spans="1:21" ht="19.95" customHeight="1" x14ac:dyDescent="0.3">
      <c r="A11" s="52"/>
      <c r="B11" s="24"/>
      <c r="C11" s="24">
        <v>64012</v>
      </c>
      <c r="D11" s="25" t="s">
        <v>89</v>
      </c>
      <c r="E11" s="43"/>
      <c r="F11" s="27"/>
      <c r="G11" s="27">
        <v>0</v>
      </c>
      <c r="H11" s="44"/>
      <c r="I11" s="49">
        <f>H11*Subsector!$S$11</f>
        <v>0</v>
      </c>
      <c r="J11" s="26">
        <f>H11*Subsector!$S$12</f>
        <v>0</v>
      </c>
      <c r="K11" s="26">
        <f>H11*Subsector!$S$13</f>
        <v>0</v>
      </c>
      <c r="L11" s="26">
        <f>H11*Subsector!$S$15</f>
        <v>0</v>
      </c>
      <c r="M11" s="26">
        <f>H11*Subsector!$S$16</f>
        <v>0</v>
      </c>
      <c r="N11" s="66">
        <f>H11*Subsector!$S$17</f>
        <v>0</v>
      </c>
      <c r="O11" s="41">
        <f t="shared" si="2"/>
        <v>0</v>
      </c>
      <c r="P11" s="26">
        <f t="shared" si="2"/>
        <v>0</v>
      </c>
      <c r="Q11" s="26">
        <f t="shared" si="3"/>
        <v>0</v>
      </c>
      <c r="R11" s="26">
        <f t="shared" si="4"/>
        <v>0</v>
      </c>
      <c r="S11" s="26">
        <f t="shared" si="5"/>
        <v>0</v>
      </c>
      <c r="T11" s="26">
        <f t="shared" si="5"/>
        <v>0</v>
      </c>
      <c r="U11" s="42">
        <f t="shared" si="6"/>
        <v>0</v>
      </c>
    </row>
    <row r="12" spans="1:21" ht="19.95" customHeight="1" x14ac:dyDescent="0.3">
      <c r="A12" s="52"/>
      <c r="B12" s="24"/>
      <c r="C12" s="24">
        <v>64013</v>
      </c>
      <c r="D12" s="25" t="s">
        <v>45</v>
      </c>
      <c r="E12" s="43"/>
      <c r="F12" s="27"/>
      <c r="G12" s="27">
        <v>0</v>
      </c>
      <c r="H12" s="44"/>
      <c r="I12" s="49">
        <f>H12*Subsector!$S$11</f>
        <v>0</v>
      </c>
      <c r="J12" s="26">
        <f>H12*Subsector!$S$12</f>
        <v>0</v>
      </c>
      <c r="K12" s="26">
        <f>H12*Subsector!$S$13</f>
        <v>0</v>
      </c>
      <c r="L12" s="26">
        <f>H12*Subsector!$S$15</f>
        <v>0</v>
      </c>
      <c r="M12" s="26">
        <f>H12*Subsector!$S$16</f>
        <v>0</v>
      </c>
      <c r="N12" s="66">
        <f>H12*Subsector!$S$17</f>
        <v>0</v>
      </c>
      <c r="O12" s="41">
        <f t="shared" si="2"/>
        <v>0</v>
      </c>
      <c r="P12" s="26">
        <f t="shared" si="2"/>
        <v>0</v>
      </c>
      <c r="Q12" s="26">
        <f t="shared" si="3"/>
        <v>0</v>
      </c>
      <c r="R12" s="26">
        <f t="shared" si="4"/>
        <v>0</v>
      </c>
      <c r="S12" s="26">
        <f t="shared" si="5"/>
        <v>0</v>
      </c>
      <c r="T12" s="26">
        <f t="shared" si="5"/>
        <v>0</v>
      </c>
      <c r="U12" s="42">
        <f t="shared" si="6"/>
        <v>0</v>
      </c>
    </row>
    <row r="13" spans="1:21" ht="19.95" customHeight="1" x14ac:dyDescent="0.3">
      <c r="A13" s="52"/>
      <c r="B13" s="24"/>
      <c r="C13" s="24">
        <v>64014</v>
      </c>
      <c r="D13" s="25" t="s">
        <v>46</v>
      </c>
      <c r="E13" s="43"/>
      <c r="F13" s="27"/>
      <c r="G13" s="27">
        <v>0</v>
      </c>
      <c r="H13" s="44"/>
      <c r="I13" s="49">
        <f>H13*Subsector!$S$11</f>
        <v>0</v>
      </c>
      <c r="J13" s="26">
        <f>H13*Subsector!$S$12</f>
        <v>0</v>
      </c>
      <c r="K13" s="26">
        <f>H13*Subsector!$S$13</f>
        <v>0</v>
      </c>
      <c r="L13" s="26">
        <f>H13*Subsector!$S$15</f>
        <v>0</v>
      </c>
      <c r="M13" s="26">
        <f>H13*Subsector!$S$16</f>
        <v>0</v>
      </c>
      <c r="N13" s="66">
        <f>H13*Subsector!$S$17</f>
        <v>0</v>
      </c>
      <c r="O13" s="41">
        <f t="shared" si="2"/>
        <v>0</v>
      </c>
      <c r="P13" s="26">
        <f t="shared" si="2"/>
        <v>0</v>
      </c>
      <c r="Q13" s="26">
        <f t="shared" si="3"/>
        <v>0</v>
      </c>
      <c r="R13" s="26">
        <f t="shared" si="4"/>
        <v>0</v>
      </c>
      <c r="S13" s="26">
        <f t="shared" si="5"/>
        <v>0</v>
      </c>
      <c r="T13" s="26">
        <f t="shared" si="5"/>
        <v>0</v>
      </c>
      <c r="U13" s="42">
        <f t="shared" si="6"/>
        <v>0</v>
      </c>
    </row>
    <row r="14" spans="1:21" ht="19.95" customHeight="1" x14ac:dyDescent="0.3">
      <c r="A14" s="52"/>
      <c r="B14" s="24"/>
      <c r="C14" s="24">
        <v>64015</v>
      </c>
      <c r="D14" s="25" t="s">
        <v>47</v>
      </c>
      <c r="E14" s="43"/>
      <c r="F14" s="27"/>
      <c r="G14" s="27">
        <v>0</v>
      </c>
      <c r="H14" s="44"/>
      <c r="I14" s="49">
        <f>H14*Subsector!$S$11</f>
        <v>0</v>
      </c>
      <c r="J14" s="26">
        <f>H14*Subsector!$S$12</f>
        <v>0</v>
      </c>
      <c r="K14" s="26">
        <f>H14*Subsector!$S$13</f>
        <v>0</v>
      </c>
      <c r="L14" s="26">
        <f>H14*Subsector!$S$15</f>
        <v>0</v>
      </c>
      <c r="M14" s="26">
        <f>H14*Subsector!$S$16</f>
        <v>0</v>
      </c>
      <c r="N14" s="66">
        <f>H14*Subsector!$S$17</f>
        <v>0</v>
      </c>
      <c r="O14" s="41">
        <f t="shared" si="2"/>
        <v>0</v>
      </c>
      <c r="P14" s="26">
        <f t="shared" si="2"/>
        <v>0</v>
      </c>
      <c r="Q14" s="26">
        <f t="shared" si="3"/>
        <v>0</v>
      </c>
      <c r="R14" s="26">
        <f t="shared" si="4"/>
        <v>0</v>
      </c>
      <c r="S14" s="26">
        <f t="shared" si="5"/>
        <v>0</v>
      </c>
      <c r="T14" s="26">
        <f t="shared" si="5"/>
        <v>0</v>
      </c>
      <c r="U14" s="42">
        <f t="shared" si="6"/>
        <v>0</v>
      </c>
    </row>
    <row r="15" spans="1:21" ht="19.95" customHeight="1" x14ac:dyDescent="0.3">
      <c r="A15" s="52"/>
      <c r="B15" s="24"/>
      <c r="C15" s="24">
        <v>64016</v>
      </c>
      <c r="D15" s="25" t="s">
        <v>48</v>
      </c>
      <c r="E15" s="43"/>
      <c r="F15" s="27"/>
      <c r="G15" s="27">
        <v>0</v>
      </c>
      <c r="H15" s="44"/>
      <c r="I15" s="49">
        <f>H15*Subsector!$S$11</f>
        <v>0</v>
      </c>
      <c r="J15" s="26">
        <f>H15*Subsector!$S$12</f>
        <v>0</v>
      </c>
      <c r="K15" s="26">
        <f>H15*Subsector!$S$13</f>
        <v>0</v>
      </c>
      <c r="L15" s="26">
        <f>H15*Subsector!$S$15</f>
        <v>0</v>
      </c>
      <c r="M15" s="26">
        <f>H15*Subsector!$S$16</f>
        <v>0</v>
      </c>
      <c r="N15" s="66">
        <f>H15*Subsector!$S$17</f>
        <v>0</v>
      </c>
      <c r="O15" s="41">
        <f t="shared" si="2"/>
        <v>0</v>
      </c>
      <c r="P15" s="26">
        <f t="shared" si="2"/>
        <v>0</v>
      </c>
      <c r="Q15" s="26">
        <f t="shared" si="3"/>
        <v>0</v>
      </c>
      <c r="R15" s="26">
        <f t="shared" si="4"/>
        <v>0</v>
      </c>
      <c r="S15" s="26">
        <f t="shared" si="5"/>
        <v>0</v>
      </c>
      <c r="T15" s="26">
        <f t="shared" si="5"/>
        <v>0</v>
      </c>
      <c r="U15" s="42">
        <f t="shared" si="6"/>
        <v>0</v>
      </c>
    </row>
    <row r="16" spans="1:21" ht="19.95" customHeight="1" x14ac:dyDescent="0.3">
      <c r="A16" s="52"/>
      <c r="B16" s="24"/>
      <c r="C16" s="24">
        <v>64017</v>
      </c>
      <c r="D16" s="25" t="s">
        <v>49</v>
      </c>
      <c r="E16" s="43"/>
      <c r="F16" s="27"/>
      <c r="G16" s="27">
        <v>0</v>
      </c>
      <c r="H16" s="44"/>
      <c r="I16" s="49">
        <f>H16*Subsector!$S$11</f>
        <v>0</v>
      </c>
      <c r="J16" s="26">
        <f>H16*Subsector!$S$12</f>
        <v>0</v>
      </c>
      <c r="K16" s="26">
        <f>H16*Subsector!$S$13</f>
        <v>0</v>
      </c>
      <c r="L16" s="26">
        <f>H16*Subsector!$S$15</f>
        <v>0</v>
      </c>
      <c r="M16" s="26">
        <f>H16*Subsector!$S$16</f>
        <v>0</v>
      </c>
      <c r="N16" s="66">
        <f>H16*Subsector!$S$17</f>
        <v>0</v>
      </c>
      <c r="O16" s="41">
        <f t="shared" si="2"/>
        <v>0</v>
      </c>
      <c r="P16" s="26">
        <f t="shared" si="2"/>
        <v>0</v>
      </c>
      <c r="Q16" s="26">
        <f t="shared" si="3"/>
        <v>0</v>
      </c>
      <c r="R16" s="26">
        <f t="shared" si="4"/>
        <v>0</v>
      </c>
      <c r="S16" s="26">
        <f t="shared" si="5"/>
        <v>0</v>
      </c>
      <c r="T16" s="26">
        <f t="shared" si="5"/>
        <v>0</v>
      </c>
      <c r="U16" s="42">
        <f t="shared" si="6"/>
        <v>0</v>
      </c>
    </row>
    <row r="17" spans="1:21" ht="19.95" customHeight="1" x14ac:dyDescent="0.3">
      <c r="A17" s="52"/>
      <c r="B17" s="24"/>
      <c r="C17" s="24">
        <v>64018</v>
      </c>
      <c r="D17" s="25" t="s">
        <v>50</v>
      </c>
      <c r="E17" s="43"/>
      <c r="F17" s="27"/>
      <c r="G17" s="27">
        <v>0</v>
      </c>
      <c r="H17" s="44"/>
      <c r="I17" s="49">
        <f>H17*Subsector!$S$11</f>
        <v>0</v>
      </c>
      <c r="J17" s="26">
        <f>H17*Subsector!$S$12</f>
        <v>0</v>
      </c>
      <c r="K17" s="26">
        <f>H17*Subsector!$S$13</f>
        <v>0</v>
      </c>
      <c r="L17" s="26">
        <f>H17*Subsector!$S$15</f>
        <v>0</v>
      </c>
      <c r="M17" s="26">
        <f>H17*Subsector!$S$16</f>
        <v>0</v>
      </c>
      <c r="N17" s="66">
        <f>H17*Subsector!$S$17</f>
        <v>0</v>
      </c>
      <c r="O17" s="41">
        <f t="shared" si="2"/>
        <v>0</v>
      </c>
      <c r="P17" s="26">
        <f t="shared" si="2"/>
        <v>0</v>
      </c>
      <c r="Q17" s="26">
        <f t="shared" si="3"/>
        <v>0</v>
      </c>
      <c r="R17" s="26">
        <f t="shared" si="4"/>
        <v>0</v>
      </c>
      <c r="S17" s="26">
        <f t="shared" si="5"/>
        <v>0</v>
      </c>
      <c r="T17" s="26">
        <f t="shared" si="5"/>
        <v>0</v>
      </c>
      <c r="U17" s="42">
        <f t="shared" si="6"/>
        <v>0</v>
      </c>
    </row>
    <row r="18" spans="1:21" ht="19.95" customHeight="1" x14ac:dyDescent="0.3">
      <c r="A18" s="51"/>
      <c r="B18" s="23">
        <v>6402</v>
      </c>
      <c r="C18" s="23"/>
      <c r="D18" s="21" t="s">
        <v>51</v>
      </c>
      <c r="E18" s="39">
        <f>SUM(E19:E26)</f>
        <v>0</v>
      </c>
      <c r="F18" s="22">
        <f t="shared" ref="F18:U18" si="7">SUM(F19:F26)</f>
        <v>0</v>
      </c>
      <c r="G18" s="22">
        <f t="shared" si="7"/>
        <v>0</v>
      </c>
      <c r="H18" s="40">
        <f t="shared" si="7"/>
        <v>0</v>
      </c>
      <c r="I18" s="36">
        <f t="shared" si="7"/>
        <v>0</v>
      </c>
      <c r="J18" s="22">
        <f t="shared" si="7"/>
        <v>0</v>
      </c>
      <c r="K18" s="22">
        <f t="shared" si="7"/>
        <v>0</v>
      </c>
      <c r="L18" s="22">
        <f t="shared" si="7"/>
        <v>0</v>
      </c>
      <c r="M18" s="22">
        <f t="shared" si="7"/>
        <v>0</v>
      </c>
      <c r="N18" s="65">
        <f t="shared" si="7"/>
        <v>0</v>
      </c>
      <c r="O18" s="39">
        <f t="shared" si="7"/>
        <v>0</v>
      </c>
      <c r="P18" s="22">
        <f t="shared" si="7"/>
        <v>0</v>
      </c>
      <c r="Q18" s="22">
        <f t="shared" si="7"/>
        <v>0</v>
      </c>
      <c r="R18" s="22">
        <f t="shared" si="7"/>
        <v>0</v>
      </c>
      <c r="S18" s="22">
        <f t="shared" si="7"/>
        <v>0</v>
      </c>
      <c r="T18" s="22">
        <f t="shared" si="7"/>
        <v>0</v>
      </c>
      <c r="U18" s="40">
        <f t="shared" si="7"/>
        <v>0</v>
      </c>
    </row>
    <row r="19" spans="1:21" ht="19.95" customHeight="1" x14ac:dyDescent="0.3">
      <c r="A19" s="52"/>
      <c r="B19" s="24"/>
      <c r="C19" s="24">
        <v>64021</v>
      </c>
      <c r="D19" s="25" t="s">
        <v>52</v>
      </c>
      <c r="E19" s="43"/>
      <c r="F19" s="27"/>
      <c r="G19" s="27"/>
      <c r="H19" s="44"/>
      <c r="I19" s="49">
        <f>H19*Subsector!$S$11</f>
        <v>0</v>
      </c>
      <c r="J19" s="26">
        <f>H19*Subsector!$S$12</f>
        <v>0</v>
      </c>
      <c r="K19" s="26">
        <f>H19*Subsector!$S$13</f>
        <v>0</v>
      </c>
      <c r="L19" s="26">
        <f>H19*Subsector!$S$15</f>
        <v>0</v>
      </c>
      <c r="M19" s="26">
        <f>H19*Subsector!$S$16</f>
        <v>0</v>
      </c>
      <c r="N19" s="66">
        <f>H19*Subsector!$S$17</f>
        <v>0</v>
      </c>
      <c r="O19" s="41">
        <f t="shared" ref="O19:P26" si="8">ROUNDUP(SUM(E19,I19),1)</f>
        <v>0</v>
      </c>
      <c r="P19" s="26">
        <f t="shared" si="8"/>
        <v>0</v>
      </c>
      <c r="Q19" s="26">
        <f t="shared" ref="Q19:Q26" si="9">ROUNDUP(SUM(K19),1)</f>
        <v>0</v>
      </c>
      <c r="R19" s="26">
        <f t="shared" ref="R19:R26" si="10">ROUNDUP(SUM(G19,L19),1)</f>
        <v>0</v>
      </c>
      <c r="S19" s="26">
        <f t="shared" ref="S19:T26" si="11">ROUNDUP(SUM(M19),1)</f>
        <v>0</v>
      </c>
      <c r="T19" s="26">
        <f t="shared" si="11"/>
        <v>0</v>
      </c>
      <c r="U19" s="42">
        <f t="shared" ref="U19:U26" si="12">SUM(O19:T19)</f>
        <v>0</v>
      </c>
    </row>
    <row r="20" spans="1:21" ht="19.95" customHeight="1" x14ac:dyDescent="0.3">
      <c r="A20" s="52"/>
      <c r="B20" s="24"/>
      <c r="C20" s="24">
        <v>64022</v>
      </c>
      <c r="D20" s="25" t="s">
        <v>53</v>
      </c>
      <c r="E20" s="43"/>
      <c r="F20" s="27"/>
      <c r="G20" s="27"/>
      <c r="H20" s="44"/>
      <c r="I20" s="49">
        <f>H20*Subsector!$S$11</f>
        <v>0</v>
      </c>
      <c r="J20" s="26">
        <f>H20*Subsector!$S$12</f>
        <v>0</v>
      </c>
      <c r="K20" s="26">
        <f>H20*Subsector!$S$13</f>
        <v>0</v>
      </c>
      <c r="L20" s="26">
        <f>H20*Subsector!$S$15</f>
        <v>0</v>
      </c>
      <c r="M20" s="26">
        <f>H20*Subsector!$S$16</f>
        <v>0</v>
      </c>
      <c r="N20" s="66">
        <f>H20*Subsector!$S$17</f>
        <v>0</v>
      </c>
      <c r="O20" s="41">
        <f t="shared" si="8"/>
        <v>0</v>
      </c>
      <c r="P20" s="26">
        <f t="shared" si="8"/>
        <v>0</v>
      </c>
      <c r="Q20" s="26">
        <f t="shared" si="9"/>
        <v>0</v>
      </c>
      <c r="R20" s="26">
        <f t="shared" si="10"/>
        <v>0</v>
      </c>
      <c r="S20" s="26">
        <f t="shared" si="11"/>
        <v>0</v>
      </c>
      <c r="T20" s="26">
        <f t="shared" si="11"/>
        <v>0</v>
      </c>
      <c r="U20" s="42">
        <f t="shared" si="12"/>
        <v>0</v>
      </c>
    </row>
    <row r="21" spans="1:21" ht="19.95" customHeight="1" x14ac:dyDescent="0.3">
      <c r="A21" s="52"/>
      <c r="B21" s="24"/>
      <c r="C21" s="24">
        <v>64023</v>
      </c>
      <c r="D21" s="25" t="s">
        <v>54</v>
      </c>
      <c r="E21" s="43"/>
      <c r="F21" s="27"/>
      <c r="G21" s="27">
        <v>0</v>
      </c>
      <c r="H21" s="44"/>
      <c r="I21" s="49">
        <f>H21*Subsector!$S$11</f>
        <v>0</v>
      </c>
      <c r="J21" s="26">
        <f>H21*Subsector!$S$12</f>
        <v>0</v>
      </c>
      <c r="K21" s="26">
        <f>H21*Subsector!$S$13</f>
        <v>0</v>
      </c>
      <c r="L21" s="26">
        <f>H21*Subsector!$S$15</f>
        <v>0</v>
      </c>
      <c r="M21" s="26">
        <f>H21*Subsector!$S$16</f>
        <v>0</v>
      </c>
      <c r="N21" s="66">
        <f>H21*Subsector!$S$17</f>
        <v>0</v>
      </c>
      <c r="O21" s="41">
        <f t="shared" si="8"/>
        <v>0</v>
      </c>
      <c r="P21" s="26">
        <f t="shared" si="8"/>
        <v>0</v>
      </c>
      <c r="Q21" s="26">
        <f t="shared" si="9"/>
        <v>0</v>
      </c>
      <c r="R21" s="26">
        <f t="shared" si="10"/>
        <v>0</v>
      </c>
      <c r="S21" s="26">
        <f t="shared" si="11"/>
        <v>0</v>
      </c>
      <c r="T21" s="26">
        <f t="shared" si="11"/>
        <v>0</v>
      </c>
      <c r="U21" s="42">
        <f t="shared" si="12"/>
        <v>0</v>
      </c>
    </row>
    <row r="22" spans="1:21" ht="19.95" customHeight="1" x14ac:dyDescent="0.3">
      <c r="A22" s="52"/>
      <c r="B22" s="24"/>
      <c r="C22" s="24">
        <v>64024</v>
      </c>
      <c r="D22" s="25" t="s">
        <v>55</v>
      </c>
      <c r="E22" s="43"/>
      <c r="F22" s="27"/>
      <c r="G22" s="27">
        <v>0</v>
      </c>
      <c r="H22" s="44"/>
      <c r="I22" s="49">
        <f>H22*Subsector!$S$11</f>
        <v>0</v>
      </c>
      <c r="J22" s="26">
        <f>H22*Subsector!$S$12</f>
        <v>0</v>
      </c>
      <c r="K22" s="26">
        <f>H22*Subsector!$S$13</f>
        <v>0</v>
      </c>
      <c r="L22" s="26">
        <f>H22*Subsector!$S$15</f>
        <v>0</v>
      </c>
      <c r="M22" s="26">
        <f>H22*Subsector!$S$16</f>
        <v>0</v>
      </c>
      <c r="N22" s="66">
        <f>H22*Subsector!$S$17</f>
        <v>0</v>
      </c>
      <c r="O22" s="41">
        <f t="shared" si="8"/>
        <v>0</v>
      </c>
      <c r="P22" s="26">
        <f t="shared" si="8"/>
        <v>0</v>
      </c>
      <c r="Q22" s="26">
        <f t="shared" si="9"/>
        <v>0</v>
      </c>
      <c r="R22" s="26">
        <f t="shared" si="10"/>
        <v>0</v>
      </c>
      <c r="S22" s="26">
        <f t="shared" si="11"/>
        <v>0</v>
      </c>
      <c r="T22" s="26">
        <f t="shared" si="11"/>
        <v>0</v>
      </c>
      <c r="U22" s="42">
        <f t="shared" si="12"/>
        <v>0</v>
      </c>
    </row>
    <row r="23" spans="1:21" ht="19.95" customHeight="1" x14ac:dyDescent="0.3">
      <c r="A23" s="52"/>
      <c r="B23" s="24"/>
      <c r="C23" s="24">
        <v>64025</v>
      </c>
      <c r="D23" s="25" t="s">
        <v>56</v>
      </c>
      <c r="E23" s="43"/>
      <c r="F23" s="27"/>
      <c r="G23" s="27">
        <v>0</v>
      </c>
      <c r="H23" s="44"/>
      <c r="I23" s="49">
        <f>H23*Subsector!$S$11</f>
        <v>0</v>
      </c>
      <c r="J23" s="26">
        <f>H23*Subsector!$S$12</f>
        <v>0</v>
      </c>
      <c r="K23" s="26">
        <f>H23*Subsector!$S$13</f>
        <v>0</v>
      </c>
      <c r="L23" s="26">
        <f>H23*Subsector!$S$15</f>
        <v>0</v>
      </c>
      <c r="M23" s="26">
        <f>H23*Subsector!$S$16</f>
        <v>0</v>
      </c>
      <c r="N23" s="66">
        <f>H23*Subsector!$S$17</f>
        <v>0</v>
      </c>
      <c r="O23" s="41">
        <f t="shared" si="8"/>
        <v>0</v>
      </c>
      <c r="P23" s="26">
        <f t="shared" si="8"/>
        <v>0</v>
      </c>
      <c r="Q23" s="26">
        <f t="shared" si="9"/>
        <v>0</v>
      </c>
      <c r="R23" s="26">
        <f t="shared" si="10"/>
        <v>0</v>
      </c>
      <c r="S23" s="26">
        <f t="shared" si="11"/>
        <v>0</v>
      </c>
      <c r="T23" s="26">
        <f t="shared" si="11"/>
        <v>0</v>
      </c>
      <c r="U23" s="42">
        <f t="shared" si="12"/>
        <v>0</v>
      </c>
    </row>
    <row r="24" spans="1:21" ht="19.95" customHeight="1" x14ac:dyDescent="0.3">
      <c r="A24" s="52"/>
      <c r="B24" s="24"/>
      <c r="C24" s="24">
        <v>64026</v>
      </c>
      <c r="D24" s="25" t="s">
        <v>57</v>
      </c>
      <c r="E24" s="43"/>
      <c r="F24" s="27"/>
      <c r="G24" s="27">
        <v>0</v>
      </c>
      <c r="H24" s="44"/>
      <c r="I24" s="49">
        <f>H24*Subsector!$S$11</f>
        <v>0</v>
      </c>
      <c r="J24" s="26">
        <f>H24*Subsector!$S$12</f>
        <v>0</v>
      </c>
      <c r="K24" s="26">
        <f>H24*Subsector!$S$13</f>
        <v>0</v>
      </c>
      <c r="L24" s="26">
        <f>H24*Subsector!$S$15</f>
        <v>0</v>
      </c>
      <c r="M24" s="26">
        <f>H24*Subsector!$S$16</f>
        <v>0</v>
      </c>
      <c r="N24" s="66">
        <f>H24*Subsector!$S$17</f>
        <v>0</v>
      </c>
      <c r="O24" s="41">
        <f t="shared" si="8"/>
        <v>0</v>
      </c>
      <c r="P24" s="26">
        <f t="shared" si="8"/>
        <v>0</v>
      </c>
      <c r="Q24" s="26">
        <f t="shared" si="9"/>
        <v>0</v>
      </c>
      <c r="R24" s="26">
        <f t="shared" si="10"/>
        <v>0</v>
      </c>
      <c r="S24" s="26">
        <f t="shared" si="11"/>
        <v>0</v>
      </c>
      <c r="T24" s="26">
        <f t="shared" si="11"/>
        <v>0</v>
      </c>
      <c r="U24" s="42">
        <f t="shared" si="12"/>
        <v>0</v>
      </c>
    </row>
    <row r="25" spans="1:21" ht="19.95" customHeight="1" x14ac:dyDescent="0.3">
      <c r="A25" s="52"/>
      <c r="B25" s="24"/>
      <c r="C25" s="24">
        <v>64027</v>
      </c>
      <c r="D25" s="25" t="s">
        <v>58</v>
      </c>
      <c r="E25" s="43"/>
      <c r="F25" s="27"/>
      <c r="G25" s="27">
        <v>0</v>
      </c>
      <c r="H25" s="44"/>
      <c r="I25" s="49">
        <f>H25*Subsector!$S$11</f>
        <v>0</v>
      </c>
      <c r="J25" s="26">
        <f>H25*Subsector!$S$12</f>
        <v>0</v>
      </c>
      <c r="K25" s="26">
        <f>H25*Subsector!$S$13</f>
        <v>0</v>
      </c>
      <c r="L25" s="26">
        <f>H25*Subsector!$S$15</f>
        <v>0</v>
      </c>
      <c r="M25" s="26">
        <f>H25*Subsector!$S$16</f>
        <v>0</v>
      </c>
      <c r="N25" s="66">
        <f>H25*Subsector!$S$17</f>
        <v>0</v>
      </c>
      <c r="O25" s="41">
        <f t="shared" si="8"/>
        <v>0</v>
      </c>
      <c r="P25" s="26">
        <f t="shared" si="8"/>
        <v>0</v>
      </c>
      <c r="Q25" s="26">
        <f t="shared" si="9"/>
        <v>0</v>
      </c>
      <c r="R25" s="26">
        <f t="shared" si="10"/>
        <v>0</v>
      </c>
      <c r="S25" s="26">
        <f t="shared" si="11"/>
        <v>0</v>
      </c>
      <c r="T25" s="26">
        <f t="shared" si="11"/>
        <v>0</v>
      </c>
      <c r="U25" s="42">
        <f t="shared" si="12"/>
        <v>0</v>
      </c>
    </row>
    <row r="26" spans="1:21" ht="19.95" customHeight="1" x14ac:dyDescent="0.3">
      <c r="A26" s="52"/>
      <c r="B26" s="24"/>
      <c r="C26" s="24">
        <v>64028</v>
      </c>
      <c r="D26" s="25" t="s">
        <v>59</v>
      </c>
      <c r="E26" s="43"/>
      <c r="F26" s="27"/>
      <c r="G26" s="27">
        <v>0</v>
      </c>
      <c r="H26" s="44"/>
      <c r="I26" s="49">
        <f>H26*Subsector!$S$11</f>
        <v>0</v>
      </c>
      <c r="J26" s="26">
        <f>H26*Subsector!$S$12</f>
        <v>0</v>
      </c>
      <c r="K26" s="26">
        <f>H26*Subsector!$S$13</f>
        <v>0</v>
      </c>
      <c r="L26" s="26">
        <f>H26*Subsector!$S$15</f>
        <v>0</v>
      </c>
      <c r="M26" s="26">
        <f>H26*Subsector!$S$16</f>
        <v>0</v>
      </c>
      <c r="N26" s="66">
        <f>H26*Subsector!$S$17</f>
        <v>0</v>
      </c>
      <c r="O26" s="41">
        <f t="shared" si="8"/>
        <v>0</v>
      </c>
      <c r="P26" s="26">
        <f t="shared" si="8"/>
        <v>0</v>
      </c>
      <c r="Q26" s="26">
        <f t="shared" si="9"/>
        <v>0</v>
      </c>
      <c r="R26" s="26">
        <f t="shared" si="10"/>
        <v>0</v>
      </c>
      <c r="S26" s="26">
        <f t="shared" si="11"/>
        <v>0</v>
      </c>
      <c r="T26" s="26">
        <f t="shared" si="11"/>
        <v>0</v>
      </c>
      <c r="U26" s="42">
        <f t="shared" si="12"/>
        <v>0</v>
      </c>
    </row>
    <row r="27" spans="1:21" ht="19.95" customHeight="1" x14ac:dyDescent="0.3">
      <c r="A27" s="51"/>
      <c r="B27" s="23">
        <v>6403</v>
      </c>
      <c r="C27" s="23"/>
      <c r="D27" s="21" t="s">
        <v>60</v>
      </c>
      <c r="E27" s="39">
        <f>SUM(E28:E32)</f>
        <v>0</v>
      </c>
      <c r="F27" s="22">
        <f t="shared" ref="F27:U27" si="13">SUM(F28:F32)</f>
        <v>0</v>
      </c>
      <c r="G27" s="22">
        <f t="shared" si="13"/>
        <v>0</v>
      </c>
      <c r="H27" s="40">
        <f t="shared" si="13"/>
        <v>0</v>
      </c>
      <c r="I27" s="36">
        <f t="shared" si="13"/>
        <v>0</v>
      </c>
      <c r="J27" s="22">
        <f t="shared" si="13"/>
        <v>0</v>
      </c>
      <c r="K27" s="22">
        <f t="shared" si="13"/>
        <v>0</v>
      </c>
      <c r="L27" s="22">
        <f t="shared" si="13"/>
        <v>0</v>
      </c>
      <c r="M27" s="22">
        <f t="shared" si="13"/>
        <v>0</v>
      </c>
      <c r="N27" s="65">
        <f t="shared" si="13"/>
        <v>0</v>
      </c>
      <c r="O27" s="39">
        <f t="shared" si="13"/>
        <v>0</v>
      </c>
      <c r="P27" s="22">
        <f t="shared" si="13"/>
        <v>0</v>
      </c>
      <c r="Q27" s="22">
        <f t="shared" si="13"/>
        <v>0</v>
      </c>
      <c r="R27" s="22">
        <f t="shared" si="13"/>
        <v>0</v>
      </c>
      <c r="S27" s="22">
        <f t="shared" si="13"/>
        <v>0</v>
      </c>
      <c r="T27" s="22">
        <f t="shared" si="13"/>
        <v>0</v>
      </c>
      <c r="U27" s="40">
        <f t="shared" si="13"/>
        <v>0</v>
      </c>
    </row>
    <row r="28" spans="1:21" ht="19.95" customHeight="1" x14ac:dyDescent="0.3">
      <c r="A28" s="52"/>
      <c r="B28" s="24"/>
      <c r="C28" s="24">
        <v>64033</v>
      </c>
      <c r="D28" s="25" t="s">
        <v>61</v>
      </c>
      <c r="E28" s="43"/>
      <c r="F28" s="27"/>
      <c r="G28" s="27">
        <v>0</v>
      </c>
      <c r="H28" s="44"/>
      <c r="I28" s="49">
        <f>H28*Subsector!$S$11</f>
        <v>0</v>
      </c>
      <c r="J28" s="26">
        <f>H28*Subsector!$S$12</f>
        <v>0</v>
      </c>
      <c r="K28" s="26">
        <f>H28*Subsector!$S$13</f>
        <v>0</v>
      </c>
      <c r="L28" s="26">
        <f>H28*Subsector!$S$15</f>
        <v>0</v>
      </c>
      <c r="M28" s="26">
        <f>H28*Subsector!$S$16</f>
        <v>0</v>
      </c>
      <c r="N28" s="66">
        <f>H28*Subsector!$S$17</f>
        <v>0</v>
      </c>
      <c r="O28" s="41">
        <f t="shared" ref="O28:P32" si="14">ROUNDUP(SUM(E28,I28),1)</f>
        <v>0</v>
      </c>
      <c r="P28" s="26">
        <f t="shared" si="14"/>
        <v>0</v>
      </c>
      <c r="Q28" s="26">
        <f>ROUNDUP(SUM(K28),1)</f>
        <v>0</v>
      </c>
      <c r="R28" s="26">
        <f>ROUNDUP(SUM(G28,L28),1)</f>
        <v>0</v>
      </c>
      <c r="S28" s="26">
        <f t="shared" ref="S28:T32" si="15">ROUNDUP(SUM(M28),1)</f>
        <v>0</v>
      </c>
      <c r="T28" s="26">
        <f t="shared" si="15"/>
        <v>0</v>
      </c>
      <c r="U28" s="42">
        <f>SUM(O28:T28)</f>
        <v>0</v>
      </c>
    </row>
    <row r="29" spans="1:21" ht="19.95" customHeight="1" x14ac:dyDescent="0.3">
      <c r="A29" s="52"/>
      <c r="B29" s="24"/>
      <c r="C29" s="24">
        <v>64034</v>
      </c>
      <c r="D29" s="25" t="s">
        <v>62</v>
      </c>
      <c r="E29" s="43"/>
      <c r="F29" s="27"/>
      <c r="G29" s="27">
        <v>0</v>
      </c>
      <c r="H29" s="44"/>
      <c r="I29" s="49">
        <f>H29*Subsector!$S$11</f>
        <v>0</v>
      </c>
      <c r="J29" s="26">
        <f>H29*Subsector!$S$12</f>
        <v>0</v>
      </c>
      <c r="K29" s="26">
        <f>H29*Subsector!$S$13</f>
        <v>0</v>
      </c>
      <c r="L29" s="26">
        <f>H29*Subsector!$S$15</f>
        <v>0</v>
      </c>
      <c r="M29" s="26">
        <f>H29*Subsector!$S$16</f>
        <v>0</v>
      </c>
      <c r="N29" s="66">
        <f>H29*Subsector!$S$17</f>
        <v>0</v>
      </c>
      <c r="O29" s="41">
        <f t="shared" si="14"/>
        <v>0</v>
      </c>
      <c r="P29" s="26">
        <f t="shared" si="14"/>
        <v>0</v>
      </c>
      <c r="Q29" s="26">
        <f>ROUNDUP(SUM(K29),1)</f>
        <v>0</v>
      </c>
      <c r="R29" s="26">
        <f>ROUNDUP(SUM(G29,L29),1)</f>
        <v>0</v>
      </c>
      <c r="S29" s="26">
        <f t="shared" si="15"/>
        <v>0</v>
      </c>
      <c r="T29" s="26">
        <f t="shared" si="15"/>
        <v>0</v>
      </c>
      <c r="U29" s="42">
        <f>SUM(O29:T29)</f>
        <v>0</v>
      </c>
    </row>
    <row r="30" spans="1:21" ht="19.95" customHeight="1" x14ac:dyDescent="0.3">
      <c r="A30" s="52"/>
      <c r="B30" s="24"/>
      <c r="C30" s="24">
        <v>64035</v>
      </c>
      <c r="D30" s="25" t="s">
        <v>63</v>
      </c>
      <c r="E30" s="43"/>
      <c r="F30" s="27"/>
      <c r="G30" s="27">
        <v>0</v>
      </c>
      <c r="H30" s="44"/>
      <c r="I30" s="49">
        <f>H30*Subsector!$S$11</f>
        <v>0</v>
      </c>
      <c r="J30" s="26">
        <f>H30*Subsector!$S$12</f>
        <v>0</v>
      </c>
      <c r="K30" s="26">
        <f>H30*Subsector!$S$13</f>
        <v>0</v>
      </c>
      <c r="L30" s="26">
        <f>H30*Subsector!$S$15</f>
        <v>0</v>
      </c>
      <c r="M30" s="26">
        <f>H30*Subsector!$S$16</f>
        <v>0</v>
      </c>
      <c r="N30" s="66">
        <f>H30*Subsector!$S$17</f>
        <v>0</v>
      </c>
      <c r="O30" s="41">
        <f t="shared" si="14"/>
        <v>0</v>
      </c>
      <c r="P30" s="26">
        <f t="shared" si="14"/>
        <v>0</v>
      </c>
      <c r="Q30" s="26">
        <f>ROUNDUP(SUM(K30),1)</f>
        <v>0</v>
      </c>
      <c r="R30" s="26">
        <f>ROUNDUP(SUM(G30,L30),1)</f>
        <v>0</v>
      </c>
      <c r="S30" s="26">
        <f t="shared" si="15"/>
        <v>0</v>
      </c>
      <c r="T30" s="26">
        <f t="shared" si="15"/>
        <v>0</v>
      </c>
      <c r="U30" s="42">
        <f>SUM(O30:T30)</f>
        <v>0</v>
      </c>
    </row>
    <row r="31" spans="1:21" ht="19.95" customHeight="1" x14ac:dyDescent="0.3">
      <c r="A31" s="52"/>
      <c r="B31" s="24"/>
      <c r="C31" s="24">
        <v>64037</v>
      </c>
      <c r="D31" s="25" t="s">
        <v>64</v>
      </c>
      <c r="E31" s="43"/>
      <c r="F31" s="27"/>
      <c r="G31" s="27">
        <v>0</v>
      </c>
      <c r="H31" s="44"/>
      <c r="I31" s="49">
        <f>H31*Subsector!$S$11</f>
        <v>0</v>
      </c>
      <c r="J31" s="26">
        <f>H31*Subsector!$S$12</f>
        <v>0</v>
      </c>
      <c r="K31" s="26">
        <f>H31*Subsector!$S$13</f>
        <v>0</v>
      </c>
      <c r="L31" s="26">
        <f>H31*Subsector!$S$15</f>
        <v>0</v>
      </c>
      <c r="M31" s="26">
        <f>H31*Subsector!$S$16</f>
        <v>0</v>
      </c>
      <c r="N31" s="66">
        <f>H31*Subsector!$S$17</f>
        <v>0</v>
      </c>
      <c r="O31" s="41">
        <f t="shared" si="14"/>
        <v>0</v>
      </c>
      <c r="P31" s="26">
        <f t="shared" si="14"/>
        <v>0</v>
      </c>
      <c r="Q31" s="26">
        <f>ROUNDUP(SUM(K31),1)</f>
        <v>0</v>
      </c>
      <c r="R31" s="26">
        <f>ROUNDUP(SUM(G31,L31),1)</f>
        <v>0</v>
      </c>
      <c r="S31" s="26">
        <f t="shared" si="15"/>
        <v>0</v>
      </c>
      <c r="T31" s="26">
        <f t="shared" si="15"/>
        <v>0</v>
      </c>
      <c r="U31" s="42">
        <f>SUM(O31:T31)</f>
        <v>0</v>
      </c>
    </row>
    <row r="32" spans="1:21" ht="19.95" customHeight="1" x14ac:dyDescent="0.3">
      <c r="A32" s="52"/>
      <c r="B32" s="24"/>
      <c r="C32" s="24">
        <v>64038</v>
      </c>
      <c r="D32" s="25" t="s">
        <v>60</v>
      </c>
      <c r="E32" s="43"/>
      <c r="F32" s="27"/>
      <c r="G32" s="27">
        <v>0</v>
      </c>
      <c r="H32" s="44"/>
      <c r="I32" s="49">
        <f>H32*Subsector!$S$11</f>
        <v>0</v>
      </c>
      <c r="J32" s="26">
        <f>H32*Subsector!$S$12</f>
        <v>0</v>
      </c>
      <c r="K32" s="26">
        <f>H32*Subsector!$S$13</f>
        <v>0</v>
      </c>
      <c r="L32" s="26">
        <f>H32*Subsector!$S$15</f>
        <v>0</v>
      </c>
      <c r="M32" s="26">
        <f>H32*Subsector!$S$16</f>
        <v>0</v>
      </c>
      <c r="N32" s="66">
        <f>H32*Subsector!$S$17</f>
        <v>0</v>
      </c>
      <c r="O32" s="41">
        <f t="shared" si="14"/>
        <v>0</v>
      </c>
      <c r="P32" s="26">
        <f t="shared" si="14"/>
        <v>0</v>
      </c>
      <c r="Q32" s="26">
        <f>ROUNDUP(SUM(K32),1)</f>
        <v>0</v>
      </c>
      <c r="R32" s="26">
        <f>ROUNDUP(SUM(G32,L32),1)</f>
        <v>0</v>
      </c>
      <c r="S32" s="26">
        <f t="shared" si="15"/>
        <v>0</v>
      </c>
      <c r="T32" s="26">
        <f t="shared" si="15"/>
        <v>0</v>
      </c>
      <c r="U32" s="42">
        <f>SUM(O32:T32)</f>
        <v>0</v>
      </c>
    </row>
    <row r="33" spans="1:21" ht="19.95" customHeight="1" x14ac:dyDescent="0.3">
      <c r="A33" s="51"/>
      <c r="B33" s="23">
        <v>6404</v>
      </c>
      <c r="C33" s="23"/>
      <c r="D33" s="21" t="s">
        <v>65</v>
      </c>
      <c r="E33" s="39">
        <f>SUM(E34:E36)</f>
        <v>0</v>
      </c>
      <c r="F33" s="22">
        <f t="shared" ref="F33:U33" si="16">SUM(F34:F36)</f>
        <v>0</v>
      </c>
      <c r="G33" s="22">
        <f t="shared" si="16"/>
        <v>0</v>
      </c>
      <c r="H33" s="40">
        <f t="shared" si="16"/>
        <v>0</v>
      </c>
      <c r="I33" s="36">
        <f t="shared" si="16"/>
        <v>0</v>
      </c>
      <c r="J33" s="22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65">
        <f t="shared" si="16"/>
        <v>0</v>
      </c>
      <c r="O33" s="39">
        <f t="shared" si="16"/>
        <v>0</v>
      </c>
      <c r="P33" s="22">
        <f t="shared" si="16"/>
        <v>0</v>
      </c>
      <c r="Q33" s="22">
        <f t="shared" si="16"/>
        <v>0</v>
      </c>
      <c r="R33" s="22">
        <f t="shared" si="16"/>
        <v>0</v>
      </c>
      <c r="S33" s="22">
        <f t="shared" si="16"/>
        <v>0</v>
      </c>
      <c r="T33" s="22">
        <f t="shared" si="16"/>
        <v>0</v>
      </c>
      <c r="U33" s="40">
        <f t="shared" si="16"/>
        <v>0</v>
      </c>
    </row>
    <row r="34" spans="1:21" ht="19.95" customHeight="1" x14ac:dyDescent="0.3">
      <c r="A34" s="52"/>
      <c r="B34" s="24"/>
      <c r="C34" s="24">
        <v>64041</v>
      </c>
      <c r="D34" s="25" t="s">
        <v>66</v>
      </c>
      <c r="E34" s="43"/>
      <c r="F34" s="27"/>
      <c r="G34" s="27"/>
      <c r="H34" s="44"/>
      <c r="I34" s="49">
        <f>H34*Subsector!$S$11</f>
        <v>0</v>
      </c>
      <c r="J34" s="26">
        <f>H34*Subsector!$S$12</f>
        <v>0</v>
      </c>
      <c r="K34" s="26">
        <f>H34*Subsector!$S$13</f>
        <v>0</v>
      </c>
      <c r="L34" s="26">
        <f>H34*Subsector!$S$15</f>
        <v>0</v>
      </c>
      <c r="M34" s="26">
        <f>H34*Subsector!$S$16</f>
        <v>0</v>
      </c>
      <c r="N34" s="66">
        <f>H34*Subsector!$S$17</f>
        <v>0</v>
      </c>
      <c r="O34" s="41">
        <f t="shared" ref="O34:P36" si="17">ROUNDUP(SUM(E34,I34),1)</f>
        <v>0</v>
      </c>
      <c r="P34" s="26">
        <f t="shared" si="17"/>
        <v>0</v>
      </c>
      <c r="Q34" s="26">
        <f>ROUNDUP(SUM(K34),1)</f>
        <v>0</v>
      </c>
      <c r="R34" s="26">
        <f>ROUNDUP(SUM(G34,L34),1)</f>
        <v>0</v>
      </c>
      <c r="S34" s="26">
        <f t="shared" ref="S34:T36" si="18">ROUNDUP(SUM(M34),1)</f>
        <v>0</v>
      </c>
      <c r="T34" s="26">
        <f t="shared" si="18"/>
        <v>0</v>
      </c>
      <c r="U34" s="42">
        <f>SUM(O34:T34)</f>
        <v>0</v>
      </c>
    </row>
    <row r="35" spans="1:21" ht="19.95" customHeight="1" x14ac:dyDescent="0.3">
      <c r="A35" s="52"/>
      <c r="B35" s="24"/>
      <c r="C35" s="24">
        <v>64042</v>
      </c>
      <c r="D35" s="25" t="s">
        <v>67</v>
      </c>
      <c r="E35" s="43"/>
      <c r="F35" s="27"/>
      <c r="G35" s="27">
        <v>0</v>
      </c>
      <c r="H35" s="44"/>
      <c r="I35" s="49">
        <f>H35*Subsector!$S$11</f>
        <v>0</v>
      </c>
      <c r="J35" s="26">
        <f>H35*Subsector!$S$12</f>
        <v>0</v>
      </c>
      <c r="K35" s="26">
        <f>H35*Subsector!$S$13</f>
        <v>0</v>
      </c>
      <c r="L35" s="26">
        <f>H35*Subsector!$S$15</f>
        <v>0</v>
      </c>
      <c r="M35" s="26">
        <f>H35*Subsector!$S$16</f>
        <v>0</v>
      </c>
      <c r="N35" s="66">
        <f>H35*Subsector!$S$17</f>
        <v>0</v>
      </c>
      <c r="O35" s="41">
        <f t="shared" si="17"/>
        <v>0</v>
      </c>
      <c r="P35" s="26">
        <f t="shared" si="17"/>
        <v>0</v>
      </c>
      <c r="Q35" s="26">
        <f>ROUNDUP(SUM(K35),1)</f>
        <v>0</v>
      </c>
      <c r="R35" s="26">
        <f>ROUNDUP(SUM(G35,L35),1)</f>
        <v>0</v>
      </c>
      <c r="S35" s="26">
        <f t="shared" si="18"/>
        <v>0</v>
      </c>
      <c r="T35" s="26">
        <f t="shared" si="18"/>
        <v>0</v>
      </c>
      <c r="U35" s="42">
        <f>SUM(O35:T35)</f>
        <v>0</v>
      </c>
    </row>
    <row r="36" spans="1:21" ht="19.95" customHeight="1" x14ac:dyDescent="0.3">
      <c r="A36" s="53"/>
      <c r="B36" s="23"/>
      <c r="C36" s="24">
        <v>64048</v>
      </c>
      <c r="D36" s="25" t="s">
        <v>68</v>
      </c>
      <c r="E36" s="43"/>
      <c r="F36" s="27"/>
      <c r="G36" s="27">
        <v>0</v>
      </c>
      <c r="H36" s="44"/>
      <c r="I36" s="49">
        <f>H36*Subsector!$S$11</f>
        <v>0</v>
      </c>
      <c r="J36" s="26">
        <f>H36*Subsector!$S$12</f>
        <v>0</v>
      </c>
      <c r="K36" s="26">
        <f>H36*Subsector!$S$13</f>
        <v>0</v>
      </c>
      <c r="L36" s="26">
        <f>H36*Subsector!$S$15</f>
        <v>0</v>
      </c>
      <c r="M36" s="26">
        <f>H36*Subsector!$S$16</f>
        <v>0</v>
      </c>
      <c r="N36" s="66">
        <f>H36*Subsector!$S$17</f>
        <v>0</v>
      </c>
      <c r="O36" s="41">
        <f t="shared" si="17"/>
        <v>0</v>
      </c>
      <c r="P36" s="26">
        <f t="shared" si="17"/>
        <v>0</v>
      </c>
      <c r="Q36" s="26">
        <f>ROUNDUP(SUM(K36),1)</f>
        <v>0</v>
      </c>
      <c r="R36" s="26">
        <f>ROUNDUP(SUM(G36,L36),1)</f>
        <v>0</v>
      </c>
      <c r="S36" s="26">
        <f t="shared" si="18"/>
        <v>0</v>
      </c>
      <c r="T36" s="26">
        <f t="shared" si="18"/>
        <v>0</v>
      </c>
      <c r="U36" s="42">
        <f>SUM(O36:T36)</f>
        <v>0</v>
      </c>
    </row>
    <row r="37" spans="1:21" ht="19.95" customHeight="1" x14ac:dyDescent="0.3">
      <c r="A37" s="54"/>
      <c r="B37" s="23">
        <v>6405</v>
      </c>
      <c r="C37" s="23"/>
      <c r="D37" s="21" t="s">
        <v>69</v>
      </c>
      <c r="E37" s="39">
        <f>SUM(E38:E44)</f>
        <v>0</v>
      </c>
      <c r="F37" s="22">
        <f t="shared" ref="F37:U37" si="19">SUM(F38:F44)</f>
        <v>0</v>
      </c>
      <c r="G37" s="22">
        <f t="shared" si="19"/>
        <v>0</v>
      </c>
      <c r="H37" s="40">
        <f t="shared" si="19"/>
        <v>0</v>
      </c>
      <c r="I37" s="36">
        <f t="shared" si="19"/>
        <v>0</v>
      </c>
      <c r="J37" s="22">
        <f t="shared" si="19"/>
        <v>0</v>
      </c>
      <c r="K37" s="22">
        <f t="shared" si="19"/>
        <v>0</v>
      </c>
      <c r="L37" s="22">
        <f t="shared" si="19"/>
        <v>0</v>
      </c>
      <c r="M37" s="22">
        <f t="shared" si="19"/>
        <v>0</v>
      </c>
      <c r="N37" s="65">
        <f t="shared" si="19"/>
        <v>0</v>
      </c>
      <c r="O37" s="39">
        <f t="shared" si="19"/>
        <v>0</v>
      </c>
      <c r="P37" s="22">
        <f t="shared" si="19"/>
        <v>0</v>
      </c>
      <c r="Q37" s="22">
        <f t="shared" si="19"/>
        <v>0</v>
      </c>
      <c r="R37" s="22">
        <f t="shared" si="19"/>
        <v>0</v>
      </c>
      <c r="S37" s="22">
        <f t="shared" si="19"/>
        <v>0</v>
      </c>
      <c r="T37" s="22">
        <f t="shared" si="19"/>
        <v>0</v>
      </c>
      <c r="U37" s="40">
        <f t="shared" si="19"/>
        <v>0</v>
      </c>
    </row>
    <row r="38" spans="1:21" ht="19.95" customHeight="1" x14ac:dyDescent="0.3">
      <c r="A38" s="55"/>
      <c r="B38" s="23"/>
      <c r="C38" s="24">
        <v>64051</v>
      </c>
      <c r="D38" s="25" t="s">
        <v>70</v>
      </c>
      <c r="E38" s="43"/>
      <c r="F38" s="27"/>
      <c r="G38" s="27">
        <v>0</v>
      </c>
      <c r="H38" s="44"/>
      <c r="I38" s="49">
        <f>H38*Subsector!$S$11</f>
        <v>0</v>
      </c>
      <c r="J38" s="26">
        <f>H38*Subsector!$S$12</f>
        <v>0</v>
      </c>
      <c r="K38" s="26">
        <f>H38*Subsector!$S$13</f>
        <v>0</v>
      </c>
      <c r="L38" s="26">
        <f>H38*Subsector!$S$15</f>
        <v>0</v>
      </c>
      <c r="M38" s="26">
        <f>H38*Subsector!$S$16</f>
        <v>0</v>
      </c>
      <c r="N38" s="66">
        <f>H38*Subsector!$S$17</f>
        <v>0</v>
      </c>
      <c r="O38" s="41">
        <f t="shared" ref="O38:P44" si="20">ROUNDUP(SUM(E38,I38),1)</f>
        <v>0</v>
      </c>
      <c r="P38" s="26">
        <f t="shared" si="20"/>
        <v>0</v>
      </c>
      <c r="Q38" s="26">
        <f t="shared" ref="Q38:Q44" si="21">ROUNDUP(SUM(K38),1)</f>
        <v>0</v>
      </c>
      <c r="R38" s="26">
        <f t="shared" ref="R38:R44" si="22">ROUNDUP(SUM(G38,L38),1)</f>
        <v>0</v>
      </c>
      <c r="S38" s="26">
        <f t="shared" ref="S38:T44" si="23">ROUNDUP(SUM(M38),1)</f>
        <v>0</v>
      </c>
      <c r="T38" s="26">
        <f t="shared" si="23"/>
        <v>0</v>
      </c>
      <c r="U38" s="42">
        <f t="shared" ref="U38:U44" si="24">SUM(O38:T38)</f>
        <v>0</v>
      </c>
    </row>
    <row r="39" spans="1:21" ht="19.95" customHeight="1" x14ac:dyDescent="0.3">
      <c r="A39" s="55"/>
      <c r="B39" s="24"/>
      <c r="C39" s="24">
        <v>64052</v>
      </c>
      <c r="D39" s="25" t="s">
        <v>71</v>
      </c>
      <c r="E39" s="43"/>
      <c r="F39" s="27"/>
      <c r="G39" s="27">
        <v>0</v>
      </c>
      <c r="H39" s="44"/>
      <c r="I39" s="49">
        <f>H39*Subsector!$S$11</f>
        <v>0</v>
      </c>
      <c r="J39" s="26">
        <f>H39*Subsector!$S$12</f>
        <v>0</v>
      </c>
      <c r="K39" s="26">
        <f>H39*Subsector!$S$13</f>
        <v>0</v>
      </c>
      <c r="L39" s="26">
        <f>H39*Subsector!$S$15</f>
        <v>0</v>
      </c>
      <c r="M39" s="26">
        <f>H39*Subsector!$S$16</f>
        <v>0</v>
      </c>
      <c r="N39" s="66">
        <f>H39*Subsector!$S$17</f>
        <v>0</v>
      </c>
      <c r="O39" s="41">
        <f t="shared" si="20"/>
        <v>0</v>
      </c>
      <c r="P39" s="26">
        <f t="shared" si="20"/>
        <v>0</v>
      </c>
      <c r="Q39" s="26">
        <f t="shared" si="21"/>
        <v>0</v>
      </c>
      <c r="R39" s="26">
        <f t="shared" si="22"/>
        <v>0</v>
      </c>
      <c r="S39" s="26">
        <f t="shared" si="23"/>
        <v>0</v>
      </c>
      <c r="T39" s="26">
        <f t="shared" si="23"/>
        <v>0</v>
      </c>
      <c r="U39" s="42">
        <f t="shared" si="24"/>
        <v>0</v>
      </c>
    </row>
    <row r="40" spans="1:21" ht="19.95" customHeight="1" x14ac:dyDescent="0.3">
      <c r="A40" s="55"/>
      <c r="B40" s="24"/>
      <c r="C40" s="24">
        <v>64053</v>
      </c>
      <c r="D40" s="25" t="s">
        <v>72</v>
      </c>
      <c r="E40" s="43"/>
      <c r="F40" s="27"/>
      <c r="G40" s="27">
        <v>0</v>
      </c>
      <c r="H40" s="44"/>
      <c r="I40" s="49">
        <f>H40*Subsector!$S$11</f>
        <v>0</v>
      </c>
      <c r="J40" s="26">
        <f>H40*Subsector!$S$12</f>
        <v>0</v>
      </c>
      <c r="K40" s="26">
        <f>H40*Subsector!$S$13</f>
        <v>0</v>
      </c>
      <c r="L40" s="26">
        <f>H40*Subsector!$S$15</f>
        <v>0</v>
      </c>
      <c r="M40" s="26">
        <f>H40*Subsector!$S$16</f>
        <v>0</v>
      </c>
      <c r="N40" s="66">
        <f>H40*Subsector!$S$17</f>
        <v>0</v>
      </c>
      <c r="O40" s="41">
        <f t="shared" si="20"/>
        <v>0</v>
      </c>
      <c r="P40" s="26">
        <f t="shared" si="20"/>
        <v>0</v>
      </c>
      <c r="Q40" s="26">
        <f t="shared" si="21"/>
        <v>0</v>
      </c>
      <c r="R40" s="26">
        <f t="shared" si="22"/>
        <v>0</v>
      </c>
      <c r="S40" s="26">
        <f t="shared" si="23"/>
        <v>0</v>
      </c>
      <c r="T40" s="26">
        <f t="shared" si="23"/>
        <v>0</v>
      </c>
      <c r="U40" s="42">
        <f t="shared" si="24"/>
        <v>0</v>
      </c>
    </row>
    <row r="41" spans="1:21" ht="19.95" customHeight="1" x14ac:dyDescent="0.3">
      <c r="A41" s="55"/>
      <c r="B41" s="24"/>
      <c r="C41" s="24">
        <v>64054</v>
      </c>
      <c r="D41" s="25" t="s">
        <v>73</v>
      </c>
      <c r="E41" s="43"/>
      <c r="F41" s="27"/>
      <c r="G41" s="27">
        <v>0</v>
      </c>
      <c r="H41" s="44"/>
      <c r="I41" s="49">
        <f>H41*Subsector!$S$11</f>
        <v>0</v>
      </c>
      <c r="J41" s="26">
        <f>H41*Subsector!$S$12</f>
        <v>0</v>
      </c>
      <c r="K41" s="26">
        <f>H41*Subsector!$S$13</f>
        <v>0</v>
      </c>
      <c r="L41" s="26">
        <f>H41*Subsector!$S$15</f>
        <v>0</v>
      </c>
      <c r="M41" s="26">
        <f>H41*Subsector!$S$16</f>
        <v>0</v>
      </c>
      <c r="N41" s="66">
        <f>H41*Subsector!$S$17</f>
        <v>0</v>
      </c>
      <c r="O41" s="41">
        <f t="shared" si="20"/>
        <v>0</v>
      </c>
      <c r="P41" s="26">
        <f t="shared" si="20"/>
        <v>0</v>
      </c>
      <c r="Q41" s="26">
        <f t="shared" si="21"/>
        <v>0</v>
      </c>
      <c r="R41" s="26">
        <f t="shared" si="22"/>
        <v>0</v>
      </c>
      <c r="S41" s="26">
        <f t="shared" si="23"/>
        <v>0</v>
      </c>
      <c r="T41" s="26">
        <f t="shared" si="23"/>
        <v>0</v>
      </c>
      <c r="U41" s="42">
        <f t="shared" si="24"/>
        <v>0</v>
      </c>
    </row>
    <row r="42" spans="1:21" ht="19.95" customHeight="1" x14ac:dyDescent="0.3">
      <c r="A42" s="55"/>
      <c r="B42" s="24"/>
      <c r="C42" s="24">
        <v>64055</v>
      </c>
      <c r="D42" s="25" t="s">
        <v>74</v>
      </c>
      <c r="E42" s="43"/>
      <c r="F42" s="27"/>
      <c r="G42" s="27">
        <v>0</v>
      </c>
      <c r="H42" s="44"/>
      <c r="I42" s="49">
        <f>H42*Subsector!$S$11</f>
        <v>0</v>
      </c>
      <c r="J42" s="26">
        <f>H42*Subsector!$S$12</f>
        <v>0</v>
      </c>
      <c r="K42" s="26">
        <f>H42*Subsector!$S$13</f>
        <v>0</v>
      </c>
      <c r="L42" s="26">
        <f>H42*Subsector!$S$15</f>
        <v>0</v>
      </c>
      <c r="M42" s="26">
        <f>H42*Subsector!$S$16</f>
        <v>0</v>
      </c>
      <c r="N42" s="66">
        <f>H42*Subsector!$S$17</f>
        <v>0</v>
      </c>
      <c r="O42" s="41">
        <f t="shared" si="20"/>
        <v>0</v>
      </c>
      <c r="P42" s="26">
        <f t="shared" si="20"/>
        <v>0</v>
      </c>
      <c r="Q42" s="26">
        <f t="shared" si="21"/>
        <v>0</v>
      </c>
      <c r="R42" s="26">
        <f t="shared" si="22"/>
        <v>0</v>
      </c>
      <c r="S42" s="26">
        <f t="shared" si="23"/>
        <v>0</v>
      </c>
      <c r="T42" s="26">
        <f t="shared" si="23"/>
        <v>0</v>
      </c>
      <c r="U42" s="42">
        <f t="shared" si="24"/>
        <v>0</v>
      </c>
    </row>
    <row r="43" spans="1:21" ht="19.95" customHeight="1" x14ac:dyDescent="0.3">
      <c r="A43" s="55"/>
      <c r="B43" s="24"/>
      <c r="C43" s="24">
        <v>64056</v>
      </c>
      <c r="D43" s="25" t="s">
        <v>75</v>
      </c>
      <c r="E43" s="43"/>
      <c r="F43" s="27"/>
      <c r="G43" s="27">
        <v>0</v>
      </c>
      <c r="H43" s="44"/>
      <c r="I43" s="49">
        <f>H43*Subsector!$S$11</f>
        <v>0</v>
      </c>
      <c r="J43" s="26">
        <f>H43*Subsector!$S$12</f>
        <v>0</v>
      </c>
      <c r="K43" s="26">
        <f>H43*Subsector!$S$13</f>
        <v>0</v>
      </c>
      <c r="L43" s="26">
        <f>H43*Subsector!$S$15</f>
        <v>0</v>
      </c>
      <c r="M43" s="26">
        <f>H43*Subsector!$S$16</f>
        <v>0</v>
      </c>
      <c r="N43" s="66">
        <f>H43*Subsector!$S$17</f>
        <v>0</v>
      </c>
      <c r="O43" s="41">
        <f t="shared" si="20"/>
        <v>0</v>
      </c>
      <c r="P43" s="26">
        <f t="shared" si="20"/>
        <v>0</v>
      </c>
      <c r="Q43" s="26">
        <f t="shared" si="21"/>
        <v>0</v>
      </c>
      <c r="R43" s="26">
        <f t="shared" si="22"/>
        <v>0</v>
      </c>
      <c r="S43" s="26">
        <f t="shared" si="23"/>
        <v>0</v>
      </c>
      <c r="T43" s="26">
        <f t="shared" si="23"/>
        <v>0</v>
      </c>
      <c r="U43" s="42">
        <f t="shared" si="24"/>
        <v>0</v>
      </c>
    </row>
    <row r="44" spans="1:21" ht="19.95" customHeight="1" x14ac:dyDescent="0.3">
      <c r="A44" s="55"/>
      <c r="B44" s="24"/>
      <c r="C44" s="24">
        <v>64058</v>
      </c>
      <c r="D44" s="25" t="s">
        <v>76</v>
      </c>
      <c r="E44" s="43"/>
      <c r="F44" s="27"/>
      <c r="G44" s="27">
        <v>0</v>
      </c>
      <c r="H44" s="44"/>
      <c r="I44" s="49">
        <f>H44*Subsector!$S$11</f>
        <v>0</v>
      </c>
      <c r="J44" s="26">
        <f>H44*Subsector!$S$12</f>
        <v>0</v>
      </c>
      <c r="K44" s="26">
        <f>H44*Subsector!$S$13</f>
        <v>0</v>
      </c>
      <c r="L44" s="26">
        <f>H44*Subsector!$S$15</f>
        <v>0</v>
      </c>
      <c r="M44" s="26">
        <f>H44*Subsector!$S$16</f>
        <v>0</v>
      </c>
      <c r="N44" s="66">
        <f>H44*Subsector!$S$17</f>
        <v>0</v>
      </c>
      <c r="O44" s="41">
        <f t="shared" si="20"/>
        <v>0</v>
      </c>
      <c r="P44" s="26">
        <f t="shared" si="20"/>
        <v>0</v>
      </c>
      <c r="Q44" s="26">
        <f t="shared" si="21"/>
        <v>0</v>
      </c>
      <c r="R44" s="26">
        <f t="shared" si="22"/>
        <v>0</v>
      </c>
      <c r="S44" s="26">
        <f t="shared" si="23"/>
        <v>0</v>
      </c>
      <c r="T44" s="26">
        <f t="shared" si="23"/>
        <v>0</v>
      </c>
      <c r="U44" s="42">
        <f t="shared" si="24"/>
        <v>0</v>
      </c>
    </row>
    <row r="45" spans="1:21" ht="19.95" customHeight="1" x14ac:dyDescent="0.3">
      <c r="A45" s="54"/>
      <c r="B45" s="28">
        <v>6406</v>
      </c>
      <c r="C45" s="23"/>
      <c r="D45" s="21" t="s">
        <v>77</v>
      </c>
      <c r="E45" s="39">
        <f>SUM(E46:E49)</f>
        <v>0</v>
      </c>
      <c r="F45" s="22">
        <f t="shared" ref="F45:U45" si="25">SUM(F46:F49)</f>
        <v>0</v>
      </c>
      <c r="G45" s="22">
        <f t="shared" si="25"/>
        <v>0</v>
      </c>
      <c r="H45" s="40">
        <f t="shared" si="25"/>
        <v>0</v>
      </c>
      <c r="I45" s="36">
        <f t="shared" si="25"/>
        <v>0</v>
      </c>
      <c r="J45" s="22">
        <f t="shared" si="25"/>
        <v>0</v>
      </c>
      <c r="K45" s="22">
        <f t="shared" si="25"/>
        <v>0</v>
      </c>
      <c r="L45" s="22">
        <f t="shared" si="25"/>
        <v>0</v>
      </c>
      <c r="M45" s="22">
        <f t="shared" si="25"/>
        <v>0</v>
      </c>
      <c r="N45" s="65">
        <f t="shared" si="25"/>
        <v>0</v>
      </c>
      <c r="O45" s="39">
        <f t="shared" si="25"/>
        <v>0</v>
      </c>
      <c r="P45" s="22">
        <f t="shared" si="25"/>
        <v>0</v>
      </c>
      <c r="Q45" s="22">
        <f t="shared" si="25"/>
        <v>0</v>
      </c>
      <c r="R45" s="22">
        <f t="shared" si="25"/>
        <v>0</v>
      </c>
      <c r="S45" s="22">
        <f t="shared" si="25"/>
        <v>0</v>
      </c>
      <c r="T45" s="22">
        <f t="shared" si="25"/>
        <v>0</v>
      </c>
      <c r="U45" s="40">
        <f t="shared" si="25"/>
        <v>0</v>
      </c>
    </row>
    <row r="46" spans="1:21" ht="19.95" customHeight="1" x14ac:dyDescent="0.3">
      <c r="A46" s="55"/>
      <c r="B46" s="28"/>
      <c r="C46" s="24">
        <v>64061</v>
      </c>
      <c r="D46" s="25" t="s">
        <v>78</v>
      </c>
      <c r="E46" s="43"/>
      <c r="F46" s="27"/>
      <c r="G46" s="27"/>
      <c r="H46" s="44"/>
      <c r="I46" s="49">
        <f>H46*Subsector!$S$11</f>
        <v>0</v>
      </c>
      <c r="J46" s="26">
        <f>H46*Subsector!$S$12</f>
        <v>0</v>
      </c>
      <c r="K46" s="26">
        <f>H46*Subsector!$S$13</f>
        <v>0</v>
      </c>
      <c r="L46" s="26">
        <f>H46*Subsector!$S$15</f>
        <v>0</v>
      </c>
      <c r="M46" s="26">
        <f>H46*Subsector!$S$16</f>
        <v>0</v>
      </c>
      <c r="N46" s="66">
        <f>H46*Subsector!$S$17</f>
        <v>0</v>
      </c>
      <c r="O46" s="41">
        <f t="shared" ref="O46:P49" si="26">ROUNDUP(SUM(E46,I46),1)</f>
        <v>0</v>
      </c>
      <c r="P46" s="26">
        <f t="shared" si="26"/>
        <v>0</v>
      </c>
      <c r="Q46" s="26">
        <f>ROUNDUP(SUM(K46),1)</f>
        <v>0</v>
      </c>
      <c r="R46" s="26">
        <f>ROUNDUP(SUM(G46,L46),1)</f>
        <v>0</v>
      </c>
      <c r="S46" s="26">
        <f t="shared" ref="S46:T49" si="27">ROUNDUP(SUM(M46),1)</f>
        <v>0</v>
      </c>
      <c r="T46" s="26">
        <f t="shared" si="27"/>
        <v>0</v>
      </c>
      <c r="U46" s="42">
        <f>SUM(O46:T46)</f>
        <v>0</v>
      </c>
    </row>
    <row r="47" spans="1:21" ht="19.95" customHeight="1" x14ac:dyDescent="0.3">
      <c r="A47" s="55"/>
      <c r="B47" s="28"/>
      <c r="C47" s="24">
        <v>64063</v>
      </c>
      <c r="D47" s="25" t="s">
        <v>79</v>
      </c>
      <c r="E47" s="43"/>
      <c r="F47" s="27"/>
      <c r="G47" s="27"/>
      <c r="H47" s="44"/>
      <c r="I47" s="49">
        <f>H47*Subsector!$S$11</f>
        <v>0</v>
      </c>
      <c r="J47" s="26">
        <f>H47*Subsector!$S$12</f>
        <v>0</v>
      </c>
      <c r="K47" s="26">
        <f>H47*Subsector!$S$13</f>
        <v>0</v>
      </c>
      <c r="L47" s="26">
        <f>H47*Subsector!$S$15</f>
        <v>0</v>
      </c>
      <c r="M47" s="26">
        <f>H47*Subsector!$S$16</f>
        <v>0</v>
      </c>
      <c r="N47" s="66">
        <f>H47*Subsector!$S$17</f>
        <v>0</v>
      </c>
      <c r="O47" s="41">
        <f t="shared" si="26"/>
        <v>0</v>
      </c>
      <c r="P47" s="26">
        <f t="shared" si="26"/>
        <v>0</v>
      </c>
      <c r="Q47" s="26">
        <f>ROUNDUP(SUM(K47),1)</f>
        <v>0</v>
      </c>
      <c r="R47" s="26">
        <f>ROUNDUP(SUM(G47,L47),1)</f>
        <v>0</v>
      </c>
      <c r="S47" s="26">
        <f t="shared" si="27"/>
        <v>0</v>
      </c>
      <c r="T47" s="26">
        <f t="shared" si="27"/>
        <v>0</v>
      </c>
      <c r="U47" s="42">
        <f>SUM(O47:T47)</f>
        <v>0</v>
      </c>
    </row>
    <row r="48" spans="1:21" ht="19.95" customHeight="1" x14ac:dyDescent="0.3">
      <c r="A48" s="55"/>
      <c r="B48" s="24"/>
      <c r="C48" s="24">
        <v>64064</v>
      </c>
      <c r="D48" s="25" t="s">
        <v>80</v>
      </c>
      <c r="E48" s="43"/>
      <c r="F48" s="27"/>
      <c r="G48" s="27"/>
      <c r="H48" s="44"/>
      <c r="I48" s="49">
        <f>H48*Subsector!$S$11</f>
        <v>0</v>
      </c>
      <c r="J48" s="26">
        <f>H48*Subsector!$S$12</f>
        <v>0</v>
      </c>
      <c r="K48" s="26">
        <f>H48*Subsector!$S$13</f>
        <v>0</v>
      </c>
      <c r="L48" s="26">
        <f>H48*Subsector!$S$15</f>
        <v>0</v>
      </c>
      <c r="M48" s="26">
        <f>H48*Subsector!$S$16</f>
        <v>0</v>
      </c>
      <c r="N48" s="66">
        <f>H48*Subsector!$S$17</f>
        <v>0</v>
      </c>
      <c r="O48" s="41">
        <f t="shared" si="26"/>
        <v>0</v>
      </c>
      <c r="P48" s="26">
        <f t="shared" si="26"/>
        <v>0</v>
      </c>
      <c r="Q48" s="26">
        <f>ROUNDUP(SUM(K48),1)</f>
        <v>0</v>
      </c>
      <c r="R48" s="26">
        <f>ROUNDUP(SUM(G48,L48),1)</f>
        <v>0</v>
      </c>
      <c r="S48" s="26">
        <f t="shared" si="27"/>
        <v>0</v>
      </c>
      <c r="T48" s="26">
        <f t="shared" si="27"/>
        <v>0</v>
      </c>
      <c r="U48" s="42">
        <f>SUM(O48:T48)</f>
        <v>0</v>
      </c>
    </row>
    <row r="49" spans="1:21" ht="19.95" customHeight="1" x14ac:dyDescent="0.3">
      <c r="A49" s="55"/>
      <c r="B49" s="24"/>
      <c r="C49" s="24">
        <v>64068</v>
      </c>
      <c r="D49" s="25" t="s">
        <v>81</v>
      </c>
      <c r="E49" s="43"/>
      <c r="F49" s="27"/>
      <c r="G49" s="27">
        <v>0</v>
      </c>
      <c r="H49" s="44"/>
      <c r="I49" s="49">
        <f>H49*Subsector!$S$11</f>
        <v>0</v>
      </c>
      <c r="J49" s="26">
        <f>H49*Subsector!$S$12</f>
        <v>0</v>
      </c>
      <c r="K49" s="26">
        <f>H49*Subsector!$S$13</f>
        <v>0</v>
      </c>
      <c r="L49" s="26">
        <f>H49*Subsector!$S$15</f>
        <v>0</v>
      </c>
      <c r="M49" s="26">
        <f>H49*Subsector!$S$16</f>
        <v>0</v>
      </c>
      <c r="N49" s="66">
        <f>H49*Subsector!$S$17</f>
        <v>0</v>
      </c>
      <c r="O49" s="41">
        <f t="shared" si="26"/>
        <v>0</v>
      </c>
      <c r="P49" s="26">
        <f t="shared" si="26"/>
        <v>0</v>
      </c>
      <c r="Q49" s="26">
        <f>ROUNDUP(SUM(K49),1)</f>
        <v>0</v>
      </c>
      <c r="R49" s="26">
        <f>ROUNDUP(SUM(G49,L49),1)</f>
        <v>0</v>
      </c>
      <c r="S49" s="26">
        <f t="shared" si="27"/>
        <v>0</v>
      </c>
      <c r="T49" s="26">
        <f t="shared" si="27"/>
        <v>0</v>
      </c>
      <c r="U49" s="42">
        <f>SUM(O49:T49)</f>
        <v>0</v>
      </c>
    </row>
    <row r="50" spans="1:21" ht="19.95" customHeight="1" x14ac:dyDescent="0.3">
      <c r="A50" s="51"/>
      <c r="B50" s="28">
        <v>6407</v>
      </c>
      <c r="C50" s="28"/>
      <c r="D50" s="29" t="s">
        <v>82</v>
      </c>
      <c r="E50" s="39">
        <f>SUM(E51:E58)</f>
        <v>0</v>
      </c>
      <c r="F50" s="22">
        <f t="shared" ref="F50:U50" si="28">SUM(F51:F58)</f>
        <v>0</v>
      </c>
      <c r="G50" s="22">
        <f t="shared" si="28"/>
        <v>0</v>
      </c>
      <c r="H50" s="40">
        <f t="shared" si="28"/>
        <v>0</v>
      </c>
      <c r="I50" s="36">
        <f t="shared" si="28"/>
        <v>0</v>
      </c>
      <c r="J50" s="22">
        <f t="shared" si="28"/>
        <v>0</v>
      </c>
      <c r="K50" s="22">
        <f t="shared" si="28"/>
        <v>0</v>
      </c>
      <c r="L50" s="22">
        <f t="shared" si="28"/>
        <v>0</v>
      </c>
      <c r="M50" s="22">
        <f t="shared" si="28"/>
        <v>0</v>
      </c>
      <c r="N50" s="65">
        <f t="shared" si="28"/>
        <v>0</v>
      </c>
      <c r="O50" s="39">
        <f t="shared" si="28"/>
        <v>0</v>
      </c>
      <c r="P50" s="22">
        <f t="shared" si="28"/>
        <v>0</v>
      </c>
      <c r="Q50" s="22">
        <f t="shared" si="28"/>
        <v>0</v>
      </c>
      <c r="R50" s="22">
        <f t="shared" si="28"/>
        <v>0</v>
      </c>
      <c r="S50" s="22">
        <f t="shared" si="28"/>
        <v>0</v>
      </c>
      <c r="T50" s="22">
        <f t="shared" si="28"/>
        <v>0</v>
      </c>
      <c r="U50" s="40">
        <f t="shared" si="28"/>
        <v>0</v>
      </c>
    </row>
    <row r="51" spans="1:21" ht="19.95" customHeight="1" x14ac:dyDescent="0.3">
      <c r="A51" s="52"/>
      <c r="B51" s="28"/>
      <c r="C51" s="30">
        <v>64071</v>
      </c>
      <c r="D51" s="31" t="s">
        <v>83</v>
      </c>
      <c r="E51" s="43"/>
      <c r="F51" s="27"/>
      <c r="G51" s="27">
        <v>0</v>
      </c>
      <c r="H51" s="44"/>
      <c r="I51" s="49">
        <f>H51*Subsector!$S$11</f>
        <v>0</v>
      </c>
      <c r="J51" s="26">
        <f>H51*Subsector!$S$12</f>
        <v>0</v>
      </c>
      <c r="K51" s="26">
        <f>H51*Subsector!$S$13</f>
        <v>0</v>
      </c>
      <c r="L51" s="26">
        <f>H51*Subsector!$S$15</f>
        <v>0</v>
      </c>
      <c r="M51" s="26">
        <f>H51*Subsector!$S$16</f>
        <v>0</v>
      </c>
      <c r="N51" s="66">
        <f>H51*Subsector!$S$17</f>
        <v>0</v>
      </c>
      <c r="O51" s="41">
        <f t="shared" ref="O51:P58" si="29">ROUNDUP(SUM(E51,I51),1)</f>
        <v>0</v>
      </c>
      <c r="P51" s="26">
        <f t="shared" si="29"/>
        <v>0</v>
      </c>
      <c r="Q51" s="26">
        <f t="shared" ref="Q51:Q58" si="30">ROUNDUP(SUM(K51),1)</f>
        <v>0</v>
      </c>
      <c r="R51" s="26">
        <f t="shared" ref="R51:R58" si="31">ROUNDUP(SUM(G51,L51),1)</f>
        <v>0</v>
      </c>
      <c r="S51" s="26">
        <f t="shared" ref="S51:T58" si="32">ROUNDUP(SUM(M51),1)</f>
        <v>0</v>
      </c>
      <c r="T51" s="26">
        <f t="shared" si="32"/>
        <v>0</v>
      </c>
      <c r="U51" s="42">
        <f t="shared" ref="U51:U58" si="33">SUM(O51:T51)</f>
        <v>0</v>
      </c>
    </row>
    <row r="52" spans="1:21" ht="19.95" customHeight="1" x14ac:dyDescent="0.3">
      <c r="A52" s="52"/>
      <c r="B52" s="28"/>
      <c r="C52" s="30">
        <v>64072</v>
      </c>
      <c r="D52" s="31" t="s">
        <v>84</v>
      </c>
      <c r="E52" s="43"/>
      <c r="F52" s="27"/>
      <c r="G52" s="27">
        <v>0</v>
      </c>
      <c r="H52" s="44"/>
      <c r="I52" s="49">
        <f>H52*Subsector!$S$11</f>
        <v>0</v>
      </c>
      <c r="J52" s="26">
        <f>H52*Subsector!$S$12</f>
        <v>0</v>
      </c>
      <c r="K52" s="26">
        <f>H52*Subsector!$S$13</f>
        <v>0</v>
      </c>
      <c r="L52" s="26">
        <f>H52*Subsector!$S$15</f>
        <v>0</v>
      </c>
      <c r="M52" s="26">
        <f>H52*Subsector!$S$16</f>
        <v>0</v>
      </c>
      <c r="N52" s="66">
        <f>H52*Subsector!$S$17</f>
        <v>0</v>
      </c>
      <c r="O52" s="41">
        <f t="shared" si="29"/>
        <v>0</v>
      </c>
      <c r="P52" s="26">
        <f t="shared" si="29"/>
        <v>0</v>
      </c>
      <c r="Q52" s="26">
        <f t="shared" si="30"/>
        <v>0</v>
      </c>
      <c r="R52" s="26">
        <f t="shared" si="31"/>
        <v>0</v>
      </c>
      <c r="S52" s="26">
        <f t="shared" si="32"/>
        <v>0</v>
      </c>
      <c r="T52" s="26">
        <f t="shared" si="32"/>
        <v>0</v>
      </c>
      <c r="U52" s="42">
        <f t="shared" si="33"/>
        <v>0</v>
      </c>
    </row>
    <row r="53" spans="1:21" ht="19.95" customHeight="1" x14ac:dyDescent="0.3">
      <c r="A53" s="52"/>
      <c r="B53" s="28"/>
      <c r="C53" s="30">
        <v>64073</v>
      </c>
      <c r="D53" s="31" t="s">
        <v>85</v>
      </c>
      <c r="E53" s="43"/>
      <c r="F53" s="27"/>
      <c r="G53" s="27">
        <v>0</v>
      </c>
      <c r="H53" s="44"/>
      <c r="I53" s="49">
        <f>H53*Subsector!$S$11</f>
        <v>0</v>
      </c>
      <c r="J53" s="26">
        <f>H53*Subsector!$S$12</f>
        <v>0</v>
      </c>
      <c r="K53" s="26">
        <f>H53*Subsector!$S$13</f>
        <v>0</v>
      </c>
      <c r="L53" s="26">
        <f>H53*Subsector!$S$15</f>
        <v>0</v>
      </c>
      <c r="M53" s="26">
        <f>H53*Subsector!$S$16</f>
        <v>0</v>
      </c>
      <c r="N53" s="66">
        <f>H53*Subsector!$S$17</f>
        <v>0</v>
      </c>
      <c r="O53" s="41">
        <f t="shared" si="29"/>
        <v>0</v>
      </c>
      <c r="P53" s="26">
        <f t="shared" si="29"/>
        <v>0</v>
      </c>
      <c r="Q53" s="26">
        <f t="shared" si="30"/>
        <v>0</v>
      </c>
      <c r="R53" s="26">
        <f t="shared" si="31"/>
        <v>0</v>
      </c>
      <c r="S53" s="26">
        <f t="shared" si="32"/>
        <v>0</v>
      </c>
      <c r="T53" s="26">
        <f t="shared" si="32"/>
        <v>0</v>
      </c>
      <c r="U53" s="42">
        <f t="shared" si="33"/>
        <v>0</v>
      </c>
    </row>
    <row r="54" spans="1:21" ht="19.95" customHeight="1" x14ac:dyDescent="0.3">
      <c r="A54" s="52"/>
      <c r="B54" s="24"/>
      <c r="C54" s="30">
        <v>64074</v>
      </c>
      <c r="D54" s="25" t="s">
        <v>86</v>
      </c>
      <c r="E54" s="43"/>
      <c r="F54" s="27"/>
      <c r="G54" s="27">
        <v>0</v>
      </c>
      <c r="H54" s="44"/>
      <c r="I54" s="49">
        <f>H54*Subsector!$S$11</f>
        <v>0</v>
      </c>
      <c r="J54" s="26">
        <f>H54*Subsector!$S$12</f>
        <v>0</v>
      </c>
      <c r="K54" s="26">
        <f>H54*Subsector!$S$13</f>
        <v>0</v>
      </c>
      <c r="L54" s="26">
        <f>H54*Subsector!$S$15</f>
        <v>0</v>
      </c>
      <c r="M54" s="26">
        <f>H54*Subsector!$S$16</f>
        <v>0</v>
      </c>
      <c r="N54" s="66">
        <f>H54*Subsector!$S$17</f>
        <v>0</v>
      </c>
      <c r="O54" s="41">
        <f t="shared" si="29"/>
        <v>0</v>
      </c>
      <c r="P54" s="26">
        <f t="shared" si="29"/>
        <v>0</v>
      </c>
      <c r="Q54" s="26">
        <f t="shared" si="30"/>
        <v>0</v>
      </c>
      <c r="R54" s="26">
        <f t="shared" si="31"/>
        <v>0</v>
      </c>
      <c r="S54" s="26">
        <f t="shared" si="32"/>
        <v>0</v>
      </c>
      <c r="T54" s="26">
        <f t="shared" si="32"/>
        <v>0</v>
      </c>
      <c r="U54" s="42">
        <f t="shared" si="33"/>
        <v>0</v>
      </c>
    </row>
    <row r="55" spans="1:21" ht="19.95" customHeight="1" x14ac:dyDescent="0.3">
      <c r="A55" s="52"/>
      <c r="B55" s="28"/>
      <c r="C55" s="30">
        <v>64075</v>
      </c>
      <c r="D55" s="31" t="s">
        <v>48</v>
      </c>
      <c r="E55" s="43"/>
      <c r="F55" s="27"/>
      <c r="G55" s="27">
        <v>0</v>
      </c>
      <c r="H55" s="44"/>
      <c r="I55" s="49">
        <f>H55*Subsector!$S$11</f>
        <v>0</v>
      </c>
      <c r="J55" s="26">
        <f>H55*Subsector!$S$12</f>
        <v>0</v>
      </c>
      <c r="K55" s="26">
        <f>H55*Subsector!$S$13</f>
        <v>0</v>
      </c>
      <c r="L55" s="26">
        <f>H55*Subsector!$S$15</f>
        <v>0</v>
      </c>
      <c r="M55" s="26">
        <f>H55*Subsector!$S$16</f>
        <v>0</v>
      </c>
      <c r="N55" s="66">
        <f>H55*Subsector!$S$17</f>
        <v>0</v>
      </c>
      <c r="O55" s="41">
        <f t="shared" si="29"/>
        <v>0</v>
      </c>
      <c r="P55" s="26">
        <f t="shared" si="29"/>
        <v>0</v>
      </c>
      <c r="Q55" s="26">
        <f t="shared" si="30"/>
        <v>0</v>
      </c>
      <c r="R55" s="26">
        <f t="shared" si="31"/>
        <v>0</v>
      </c>
      <c r="S55" s="26">
        <f t="shared" si="32"/>
        <v>0</v>
      </c>
      <c r="T55" s="26">
        <f t="shared" si="32"/>
        <v>0</v>
      </c>
      <c r="U55" s="42">
        <f t="shared" si="33"/>
        <v>0</v>
      </c>
    </row>
    <row r="56" spans="1:21" ht="19.95" customHeight="1" x14ac:dyDescent="0.3">
      <c r="A56" s="52"/>
      <c r="B56" s="28"/>
      <c r="C56" s="30">
        <v>64076</v>
      </c>
      <c r="D56" s="31" t="s">
        <v>49</v>
      </c>
      <c r="E56" s="43"/>
      <c r="F56" s="27"/>
      <c r="G56" s="27">
        <v>0</v>
      </c>
      <c r="H56" s="44"/>
      <c r="I56" s="49">
        <f>H56*Subsector!$S$11</f>
        <v>0</v>
      </c>
      <c r="J56" s="26">
        <f>H56*Subsector!$S$12</f>
        <v>0</v>
      </c>
      <c r="K56" s="26">
        <f>H56*Subsector!$S$13</f>
        <v>0</v>
      </c>
      <c r="L56" s="26">
        <f>H56*Subsector!$S$15</f>
        <v>0</v>
      </c>
      <c r="M56" s="26">
        <f>H56*Subsector!$S$16</f>
        <v>0</v>
      </c>
      <c r="N56" s="66">
        <f>H56*Subsector!$S$17</f>
        <v>0</v>
      </c>
      <c r="O56" s="41">
        <f t="shared" si="29"/>
        <v>0</v>
      </c>
      <c r="P56" s="26">
        <f t="shared" si="29"/>
        <v>0</v>
      </c>
      <c r="Q56" s="26">
        <f t="shared" si="30"/>
        <v>0</v>
      </c>
      <c r="R56" s="26">
        <f t="shared" si="31"/>
        <v>0</v>
      </c>
      <c r="S56" s="26">
        <f t="shared" si="32"/>
        <v>0</v>
      </c>
      <c r="T56" s="26">
        <f t="shared" si="32"/>
        <v>0</v>
      </c>
      <c r="U56" s="42">
        <f t="shared" si="33"/>
        <v>0</v>
      </c>
    </row>
    <row r="57" spans="1:21" ht="19.95" customHeight="1" x14ac:dyDescent="0.3">
      <c r="A57" s="52"/>
      <c r="B57" s="28"/>
      <c r="C57" s="30">
        <v>64077</v>
      </c>
      <c r="D57" s="31" t="s">
        <v>50</v>
      </c>
      <c r="E57" s="43"/>
      <c r="F57" s="27"/>
      <c r="G57" s="27">
        <v>0</v>
      </c>
      <c r="H57" s="44"/>
      <c r="I57" s="49">
        <f>H57*Subsector!$S$11</f>
        <v>0</v>
      </c>
      <c r="J57" s="26">
        <f>H57*Subsector!$S$12</f>
        <v>0</v>
      </c>
      <c r="K57" s="26">
        <f>H57*Subsector!$S$13</f>
        <v>0</v>
      </c>
      <c r="L57" s="26">
        <f>H57*Subsector!$S$15</f>
        <v>0</v>
      </c>
      <c r="M57" s="26">
        <f>H57*Subsector!$S$16</f>
        <v>0</v>
      </c>
      <c r="N57" s="66">
        <f>H57*Subsector!$S$17</f>
        <v>0</v>
      </c>
      <c r="O57" s="41">
        <f t="shared" si="29"/>
        <v>0</v>
      </c>
      <c r="P57" s="26">
        <f t="shared" si="29"/>
        <v>0</v>
      </c>
      <c r="Q57" s="26">
        <f t="shared" si="30"/>
        <v>0</v>
      </c>
      <c r="R57" s="26">
        <f t="shared" si="31"/>
        <v>0</v>
      </c>
      <c r="S57" s="26">
        <f t="shared" si="32"/>
        <v>0</v>
      </c>
      <c r="T57" s="26">
        <f t="shared" si="32"/>
        <v>0</v>
      </c>
      <c r="U57" s="42">
        <f t="shared" si="33"/>
        <v>0</v>
      </c>
    </row>
    <row r="58" spans="1:21" ht="19.95" customHeight="1" x14ac:dyDescent="0.3">
      <c r="A58" s="52"/>
      <c r="B58" s="28"/>
      <c r="C58" s="30">
        <v>64078</v>
      </c>
      <c r="D58" s="31" t="s">
        <v>87</v>
      </c>
      <c r="E58" s="43"/>
      <c r="F58" s="27"/>
      <c r="G58" s="27">
        <v>0</v>
      </c>
      <c r="H58" s="44"/>
      <c r="I58" s="49">
        <f>H58*Subsector!$S$11</f>
        <v>0</v>
      </c>
      <c r="J58" s="26">
        <f>H58*Subsector!$S$12</f>
        <v>0</v>
      </c>
      <c r="K58" s="26">
        <f>H58*Subsector!$S$13</f>
        <v>0</v>
      </c>
      <c r="L58" s="26">
        <f>H58*Subsector!$S$15</f>
        <v>0</v>
      </c>
      <c r="M58" s="26">
        <f>H58*Subsector!$S$16</f>
        <v>0</v>
      </c>
      <c r="N58" s="66">
        <f>H58*Subsector!$S$17</f>
        <v>0</v>
      </c>
      <c r="O58" s="41">
        <f t="shared" si="29"/>
        <v>0</v>
      </c>
      <c r="P58" s="26">
        <f t="shared" si="29"/>
        <v>0</v>
      </c>
      <c r="Q58" s="26">
        <f t="shared" si="30"/>
        <v>0</v>
      </c>
      <c r="R58" s="26">
        <f t="shared" si="31"/>
        <v>0</v>
      </c>
      <c r="S58" s="26">
        <f t="shared" si="32"/>
        <v>0</v>
      </c>
      <c r="T58" s="26">
        <f t="shared" si="32"/>
        <v>0</v>
      </c>
      <c r="U58" s="42">
        <f t="shared" si="33"/>
        <v>0</v>
      </c>
    </row>
    <row r="59" spans="1:21" ht="19.95" customHeight="1" x14ac:dyDescent="0.3">
      <c r="A59" s="51"/>
      <c r="B59" s="28">
        <v>6498</v>
      </c>
      <c r="C59" s="28"/>
      <c r="D59" s="29" t="s">
        <v>88</v>
      </c>
      <c r="E59" s="39">
        <f>SUM(E60)</f>
        <v>0</v>
      </c>
      <c r="F59" s="22">
        <f t="shared" ref="F59:U59" si="34">SUM(F60)</f>
        <v>0</v>
      </c>
      <c r="G59" s="22">
        <f>SUM(G60)</f>
        <v>0</v>
      </c>
      <c r="H59" s="40">
        <f t="shared" si="34"/>
        <v>0</v>
      </c>
      <c r="I59" s="36">
        <f t="shared" si="34"/>
        <v>0</v>
      </c>
      <c r="J59" s="22">
        <f t="shared" si="34"/>
        <v>0</v>
      </c>
      <c r="K59" s="22">
        <f t="shared" si="34"/>
        <v>0</v>
      </c>
      <c r="L59" s="22">
        <f t="shared" si="34"/>
        <v>0</v>
      </c>
      <c r="M59" s="22">
        <f t="shared" si="34"/>
        <v>0</v>
      </c>
      <c r="N59" s="65">
        <f t="shared" si="34"/>
        <v>0</v>
      </c>
      <c r="O59" s="39">
        <f t="shared" si="34"/>
        <v>0</v>
      </c>
      <c r="P59" s="22">
        <f t="shared" si="34"/>
        <v>0</v>
      </c>
      <c r="Q59" s="22">
        <f t="shared" si="34"/>
        <v>0</v>
      </c>
      <c r="R59" s="22">
        <f t="shared" si="34"/>
        <v>0</v>
      </c>
      <c r="S59" s="22">
        <f t="shared" si="34"/>
        <v>0</v>
      </c>
      <c r="T59" s="22">
        <f t="shared" si="34"/>
        <v>0</v>
      </c>
      <c r="U59" s="40">
        <f t="shared" si="34"/>
        <v>0</v>
      </c>
    </row>
    <row r="60" spans="1:21" ht="19.95" customHeight="1" thickBot="1" x14ac:dyDescent="0.35">
      <c r="A60" s="56"/>
      <c r="B60" s="57"/>
      <c r="C60" s="58">
        <v>64981</v>
      </c>
      <c r="D60" s="59" t="s">
        <v>88</v>
      </c>
      <c r="E60" s="68"/>
      <c r="F60" s="69"/>
      <c r="G60" s="69"/>
      <c r="H60" s="70"/>
      <c r="I60" s="63">
        <f>H60*Subsector!$S$11</f>
        <v>0</v>
      </c>
      <c r="J60" s="61">
        <f>H60*Subsector!$S$12</f>
        <v>0</v>
      </c>
      <c r="K60" s="61">
        <f>H60*Subsector!$S$13</f>
        <v>0</v>
      </c>
      <c r="L60" s="61">
        <f>H60*Subsector!$S$15</f>
        <v>0</v>
      </c>
      <c r="M60" s="61">
        <f>H60*Subsector!$S$16</f>
        <v>0</v>
      </c>
      <c r="N60" s="67">
        <f>H60*Subsector!$S$17</f>
        <v>0</v>
      </c>
      <c r="O60" s="60">
        <f>ROUNDUP(SUM(E60,I60),1)</f>
        <v>0</v>
      </c>
      <c r="P60" s="61">
        <f>ROUNDUP(SUM(F60,J60),1)</f>
        <v>0</v>
      </c>
      <c r="Q60" s="61">
        <f>ROUNDUP(SUM(K60),1)</f>
        <v>0</v>
      </c>
      <c r="R60" s="61">
        <f>ROUNDUP(SUM(G60,L60),1)</f>
        <v>0</v>
      </c>
      <c r="S60" s="61">
        <f>ROUNDUP(SUM(M60),1)</f>
        <v>0</v>
      </c>
      <c r="T60" s="61">
        <f>ROUNDUP(SUM(N60),1)</f>
        <v>0</v>
      </c>
      <c r="U60" s="62">
        <f>SUM(O60:T60)</f>
        <v>0</v>
      </c>
    </row>
  </sheetData>
  <sheetProtection algorithmName="SHA-512" hashValue="Aix7LKS8Sl3lZAvXk3xG35oBoxrcoV4I2eszPc6W0B9VSDERrUGGpaqj+AmP0DBRLom6axW/N8jZi0svCZm1EA==" saltValue="mUH3Gf6Cn5FLnohmr+PwBg==" spinCount="100000" sheet="1" formatCells="0" formatColumns="0" formatRows="0" sort="0" autoFilter="0" pivotTables="0"/>
  <mergeCells count="8">
    <mergeCell ref="A3:U3"/>
    <mergeCell ref="A5:A7"/>
    <mergeCell ref="B5:B7"/>
    <mergeCell ref="C5:C7"/>
    <mergeCell ref="D5:D7"/>
    <mergeCell ref="E5:H5"/>
    <mergeCell ref="I5:N6"/>
    <mergeCell ref="O5:U6"/>
  </mergeCell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Subsector</vt:lpstr>
      <vt:lpstr>PoE</vt:lpstr>
      <vt:lpstr>DoE01</vt:lpstr>
      <vt:lpstr>DoE02</vt:lpstr>
      <vt:lpstr>DoE03</vt:lpstr>
      <vt:lpstr>DoE04</vt:lpstr>
      <vt:lpstr>DoE05</vt:lpstr>
      <vt:lpstr>DoE06</vt:lpstr>
      <vt:lpstr>DoE07</vt:lpstr>
      <vt:lpstr>DoE08</vt:lpstr>
      <vt:lpstr>DoE09</vt:lpstr>
      <vt:lpstr>DoE10</vt:lpstr>
      <vt:lpstr>DoE11</vt:lpstr>
      <vt:lpstr>DoE12</vt:lpstr>
      <vt:lpstr>DoE13</vt:lpstr>
      <vt:lpstr>DoE14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Pitou Suon</dc:creator>
  <cp:lastModifiedBy>pin sokhea</cp:lastModifiedBy>
  <cp:lastPrinted>2024-06-17T01:48:30Z</cp:lastPrinted>
  <dcterms:created xsi:type="dcterms:W3CDTF">2024-06-02T02:33:06Z</dcterms:created>
  <dcterms:modified xsi:type="dcterms:W3CDTF">2024-06-17T01:53:36Z</dcterms:modified>
</cp:coreProperties>
</file>